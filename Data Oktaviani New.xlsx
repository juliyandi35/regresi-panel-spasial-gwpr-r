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35"/>
  </bookViews>
  <sheets>
    <sheet name="Sheet1" sheetId="1" r:id="rId1"/>
    <sheet name="Sheet2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F2" i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</calcChain>
</file>

<file path=xl/sharedStrings.xml><?xml version="1.0" encoding="utf-8"?>
<sst xmlns="http://schemas.openxmlformats.org/spreadsheetml/2006/main" count="222" uniqueCount="52">
  <si>
    <t>PROVINSI</t>
  </si>
  <si>
    <t>TAHUN</t>
  </si>
  <si>
    <t>IKA</t>
  </si>
  <si>
    <t>IKU</t>
  </si>
  <si>
    <t>IKTL</t>
  </si>
  <si>
    <t>DKI JAKARTA</t>
  </si>
  <si>
    <t>JAWA BARAT</t>
  </si>
  <si>
    <t>JAWA TENGAH</t>
  </si>
  <si>
    <t>DI YOGYAKARTA</t>
  </si>
  <si>
    <t>JAWA TIMUR</t>
  </si>
  <si>
    <t>BANTEN</t>
  </si>
  <si>
    <t>LATITUDE</t>
  </si>
  <si>
    <t>ID</t>
  </si>
  <si>
    <t>PDRB ADHK</t>
  </si>
  <si>
    <t>PDRB ADHB</t>
  </si>
  <si>
    <t>LOGADHK</t>
  </si>
  <si>
    <t>LOHADHB</t>
  </si>
  <si>
    <t>INV</t>
  </si>
  <si>
    <t>HDI</t>
  </si>
  <si>
    <t>JP</t>
  </si>
  <si>
    <t>LOGJP</t>
  </si>
  <si>
    <t>LONGITUDE</t>
  </si>
  <si>
    <t>ACEH</t>
  </si>
  <si>
    <t>DEPENDEN :PDRB</t>
  </si>
  <si>
    <t>INDEPENDEN: IKA;IKU;IKTL;INV;IPM;JP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</si>
  <si>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</si>
  <si>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</si>
  <si>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</si>
  <si>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</si>
  <si>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</si>
  <si>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</si>
  <si>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</si>
  <si>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KEP, BANGKA BELITUNG</t>
  </si>
  <si>
    <t>KEP, RIAU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</si>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</sst>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2"/>
      <color rgb="FF37415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NumberFormat="1"/>
    <xf numFmtId="0" fontId="0" fillId="5" borderId="0" xfId="0" applyFill="1"/>
    <xf numFmtId="0" fontId="2" fillId="6" borderId="0" xfId="0" applyFont="1" applyFill="1"/>
    <xf numFmtId="0" fontId="3" fillId="2" borderId="0" xfId="0" applyFont="1" applyFill="1"/>
    <xf numFmtId="0" fontId="1" fillId="7" borderId="0" xfId="1" applyNumberFormat="1" applyFont="1" applyFill="1"/>
    <xf numFmtId="2" fontId="0" fillId="0" borderId="0" xfId="0" applyNumberFormat="1" applyFill="1" applyBorder="1" applyAlignment="1">
      <alignment horizontal="right" vertical="top"/>
    </xf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2" fontId="0" fillId="0" borderId="0" xfId="0" applyNumberFormat="1" applyAlignment="1">
      <alignment horizontal="right"/>
    </xf>
    <xf numFmtId="0" fontId="4" fillId="3" borderId="0" xfId="1" applyNumberFormat="1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Normal 3" xfId="1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5"/>
  <sheetViews>
    <sheetView tabSelected="1" topLeftCell="A163" zoomScale="145" zoomScaleNormal="145" workbookViewId="0">
      <selection activeCell="C167" sqref="C167"/>
    </sheetView>
  </sheetViews>
  <sheetFormatPr defaultRowHeight="15" x14ac:dyDescent="0.25"/>
  <cols>
    <col min="1" max="1" width="6.140625" customWidth="1"/>
    <col min="2" max="2" width="20" customWidth="1"/>
    <col min="3" max="3" width="10.7109375" style="11" customWidth="1"/>
    <col min="4" max="4" width="10.7109375" customWidth="1"/>
    <col min="5" max="5" width="10.85546875" customWidth="1"/>
    <col min="6" max="6" width="10" customWidth="1"/>
    <col min="13" max="13" width="14" customWidth="1"/>
    <col min="14" max="14" width="11" customWidth="1"/>
  </cols>
  <sheetData>
    <row r="1" spans="1:22" ht="15.75" x14ac:dyDescent="0.25">
      <c r="A1" s="3" t="s">
        <v>12</v>
      </c>
      <c r="B1" s="3" t="s">
        <v>0</v>
      </c>
      <c r="C1" s="12" t="s">
        <v>1</v>
      </c>
      <c r="D1" s="12" t="s">
        <v>13</v>
      </c>
      <c r="E1" s="12" t="s">
        <v>14</v>
      </c>
      <c r="F1" s="14" t="s">
        <v>15</v>
      </c>
      <c r="G1" s="14" t="s">
        <v>16</v>
      </c>
      <c r="H1" s="12" t="s">
        <v>2</v>
      </c>
      <c r="I1" s="12" t="s">
        <v>3</v>
      </c>
      <c r="J1" s="12" t="s">
        <v>4</v>
      </c>
      <c r="K1" s="14" t="s">
        <v>17</v>
      </c>
      <c r="L1" s="12" t="s">
        <v>18</v>
      </c>
      <c r="M1" s="14" t="s">
        <v>19</v>
      </c>
      <c r="N1" s="14" t="s">
        <v>20</v>
      </c>
      <c r="O1" s="12" t="s">
        <v>21</v>
      </c>
      <c r="P1" s="12" t="s">
        <v>11</v>
      </c>
    </row>
    <row r="2" spans="1:22" ht="15.75" x14ac:dyDescent="0.25">
      <c r="A2" s="5">
        <v>1</v>
      </c>
      <c r="B2" s="5" t="s">
        <v>22</v>
      </c>
      <c r="C2" s="13">
        <v>2017</v>
      </c>
      <c r="D2" s="1">
        <v>121240.98</v>
      </c>
      <c r="E2" s="1">
        <v>145806.92000000001</v>
      </c>
      <c r="F2">
        <f>LOG(D2)</f>
        <v>5.0836494381448762</v>
      </c>
      <c r="G2">
        <f>LOG(E2)</f>
        <v>5.1637781360978501</v>
      </c>
      <c r="H2" s="6">
        <v>68.290000000000006</v>
      </c>
      <c r="I2" s="6">
        <v>89.84</v>
      </c>
      <c r="J2" s="6">
        <v>77.89</v>
      </c>
      <c r="K2" s="1">
        <v>782.8</v>
      </c>
      <c r="L2" s="1">
        <v>70.599999999999994</v>
      </c>
      <c r="M2" s="1">
        <v>5169.3999999999996</v>
      </c>
      <c r="N2">
        <f>LOG(M2)</f>
        <v>3.7134401384883686</v>
      </c>
      <c r="O2">
        <v>97.025300000000001</v>
      </c>
      <c r="P2">
        <v>4.3685499999999999</v>
      </c>
      <c r="R2" s="7"/>
    </row>
    <row r="3" spans="1:22" ht="15.75" x14ac:dyDescent="0.25">
      <c r="A3" s="5">
        <v>1</v>
      </c>
      <c r="B3" s="5" t="s">
        <v>22</v>
      </c>
      <c r="C3" s="13">
        <v>2018</v>
      </c>
      <c r="D3" s="1">
        <v>126824.37</v>
      </c>
      <c r="E3" s="1">
        <v>155910.98000000001</v>
      </c>
      <c r="F3">
        <f t="shared" ref="F3" si="0">LOG(D3)</f>
        <v>5.1032027136371596</v>
      </c>
      <c r="G3">
        <f t="shared" ref="G3" si="1">LOG(E3)</f>
        <v>5.1928767013690544</v>
      </c>
      <c r="H3" s="6">
        <v>62.31</v>
      </c>
      <c r="I3" s="6">
        <v>88.33</v>
      </c>
      <c r="J3" s="6">
        <v>75.37</v>
      </c>
      <c r="K3" s="1">
        <v>970</v>
      </c>
      <c r="L3" s="1">
        <v>71.19</v>
      </c>
      <c r="M3" s="1">
        <v>5243.4</v>
      </c>
      <c r="N3">
        <f>LOG(M3)</f>
        <v>3.7196129897309733</v>
      </c>
      <c r="O3">
        <v>97.025300000000001</v>
      </c>
      <c r="P3">
        <v>4.3685499999999999</v>
      </c>
      <c r="R3" s="7"/>
    </row>
    <row r="4" spans="1:22" ht="15.75" x14ac:dyDescent="0.25">
      <c r="A4" s="5">
        <v>1</v>
      </c>
      <c r="B4" s="5" t="s">
        <v>22</v>
      </c>
      <c r="C4" s="13">
        <v>2019</v>
      </c>
      <c r="D4" s="1">
        <v>132069.62</v>
      </c>
      <c r="E4" s="1">
        <v>164162.98000000001</v>
      </c>
      <c r="F4">
        <f t="shared" ref="F4" si="2">LOG(D4)</f>
        <v>5.1208029282599652</v>
      </c>
      <c r="G4">
        <f t="shared" ref="G4" si="3">LOG(E4)</f>
        <v>5.2152752271172087</v>
      </c>
      <c r="H4" s="6">
        <v>60.56</v>
      </c>
      <c r="I4" s="6">
        <v>90.71</v>
      </c>
      <c r="J4" s="6">
        <v>76.569999999999993</v>
      </c>
      <c r="K4" s="1">
        <v>3606.9</v>
      </c>
      <c r="L4" s="1">
        <v>71.900000000000006</v>
      </c>
      <c r="M4" s="1">
        <v>5316.3</v>
      </c>
      <c r="N4">
        <f>LOG(M4)</f>
        <v>3.7256094802971056</v>
      </c>
      <c r="O4">
        <v>97.025300000000001</v>
      </c>
      <c r="P4">
        <v>4.3685499999999999</v>
      </c>
      <c r="Q4" s="4" t="s">
        <v>23</v>
      </c>
      <c r="R4" s="8"/>
    </row>
    <row r="5" spans="1:22" ht="15.75" x14ac:dyDescent="0.25">
      <c r="A5" s="5">
        <v>1</v>
      </c>
      <c r="B5" s="5" t="s">
        <v>22</v>
      </c>
      <c r="C5" s="13">
        <v>2020</v>
      </c>
      <c r="D5" s="1">
        <v>131580.97</v>
      </c>
      <c r="E5" s="1">
        <v>166372.32</v>
      </c>
      <c r="F5">
        <f t="shared" ref="F5" si="4">LOG(D5)</f>
        <v>5.1191930836426733</v>
      </c>
      <c r="G5">
        <f t="shared" ref="G5" si="5">LOG(E5)</f>
        <v>5.221081072728647</v>
      </c>
      <c r="H5" s="6">
        <v>61.43</v>
      </c>
      <c r="I5" s="6">
        <v>89.51</v>
      </c>
      <c r="J5" s="6">
        <v>76.760000000000005</v>
      </c>
      <c r="K5" s="1">
        <v>8241.1</v>
      </c>
      <c r="L5" s="1">
        <v>71.989999999999995</v>
      </c>
      <c r="M5" s="1">
        <v>5274.9</v>
      </c>
      <c r="N5">
        <f>LOG(M5)</f>
        <v>3.7222142308209438</v>
      </c>
      <c r="O5">
        <v>97.025300000000001</v>
      </c>
      <c r="P5">
        <v>4.3685499999999999</v>
      </c>
      <c r="Q5" s="4" t="s">
        <v>24</v>
      </c>
      <c r="R5" s="8"/>
    </row>
    <row r="6" spans="1:22" ht="15.75" x14ac:dyDescent="0.25">
      <c r="A6" s="5">
        <v>1</v>
      </c>
      <c r="B6" s="5" t="s">
        <v>22</v>
      </c>
      <c r="C6" s="13">
        <v>2021</v>
      </c>
      <c r="D6" s="1">
        <v>135251.19</v>
      </c>
      <c r="E6" s="1">
        <v>184978.75</v>
      </c>
      <c r="F6">
        <f t="shared" ref="F6" si="6">LOG(D6)</f>
        <v>5.1311410949110279</v>
      </c>
      <c r="G6">
        <f t="shared" ref="G6" si="7">LOG(E6)</f>
        <v>5.267121840360792</v>
      </c>
      <c r="H6" s="6">
        <v>57.14</v>
      </c>
      <c r="I6" s="6">
        <v>89.63</v>
      </c>
      <c r="J6" s="6">
        <v>76.63</v>
      </c>
      <c r="K6" s="1">
        <v>7904.7</v>
      </c>
      <c r="L6" s="1">
        <v>72.180000000000007</v>
      </c>
      <c r="M6" s="1">
        <v>5333.7</v>
      </c>
      <c r="N6">
        <f>LOG(M6)</f>
        <v>3.7270285846555802</v>
      </c>
      <c r="O6">
        <v>97.025300000000001</v>
      </c>
      <c r="P6">
        <v>4.3685499999999999</v>
      </c>
      <c r="R6" s="7"/>
    </row>
    <row r="7" spans="1:22" ht="15.75" x14ac:dyDescent="0.25">
      <c r="A7" s="5">
        <v>1</v>
      </c>
      <c r="B7" s="5" t="s">
        <v>22</v>
      </c>
      <c r="C7" s="13">
        <v>2022</v>
      </c>
      <c r="D7" s="1">
        <v>140947.64000000001</v>
      </c>
      <c r="E7" s="1">
        <v>211750.02</v>
      </c>
      <c r="F7">
        <f t="shared" ref="F7" si="8">LOG(D7)</f>
        <v>5.1490578085257628</v>
      </c>
      <c r="G7">
        <f t="shared" ref="G7" si="9">LOG(E7)</f>
        <v>5.325823460022292</v>
      </c>
      <c r="H7" s="6">
        <v>60.41</v>
      </c>
      <c r="I7" s="6">
        <v>90.62</v>
      </c>
      <c r="J7" s="9">
        <v>76.33</v>
      </c>
      <c r="K7" s="1">
        <v>4424.2</v>
      </c>
      <c r="L7" s="1">
        <v>72.8</v>
      </c>
      <c r="M7" s="1">
        <v>5407.9</v>
      </c>
      <c r="N7">
        <f>LOG(M7)</f>
        <v>3.7330286522661007</v>
      </c>
      <c r="O7">
        <v>97.025300000000001</v>
      </c>
      <c r="P7">
        <v>4.3685499999999999</v>
      </c>
    </row>
    <row r="8" spans="1:22" ht="15.75" x14ac:dyDescent="0.25">
      <c r="A8" s="5">
        <v>2</v>
      </c>
      <c r="B8" s="5" t="s">
        <v>25</v>
      </c>
      <c r="C8" s="13">
        <v>2017</v>
      </c>
      <c r="D8" s="1">
        <v>487531.23</v>
      </c>
      <c r="E8" s="1">
        <v>684634.43</v>
      </c>
      <c r="F8">
        <f t="shared" ref="F8" si="10">LOG(D8)</f>
        <v>5.6880024407161036</v>
      </c>
      <c r="G8">
        <f t="shared" ref="G8" si="11">LOG(E8)</f>
        <v>5.8354587358521375</v>
      </c>
      <c r="H8" s="6">
        <v>50</v>
      </c>
      <c r="I8" s="6">
        <v>87.32</v>
      </c>
      <c r="J8" s="6">
        <v>49.25</v>
      </c>
      <c r="K8" s="1">
        <v>11683.6</v>
      </c>
      <c r="L8" s="1">
        <v>70.569999999999993</v>
      </c>
      <c r="M8" s="1">
        <v>14308.4</v>
      </c>
      <c r="N8">
        <f>LOG(M8)</f>
        <v>4.1555910726122791</v>
      </c>
      <c r="O8">
        <v>124.09014999999999</v>
      </c>
      <c r="P8">
        <v>0.65556999999999999</v>
      </c>
    </row>
    <row r="9" spans="1:22" ht="15.75" x14ac:dyDescent="0.25">
      <c r="A9" s="5">
        <v>2</v>
      </c>
      <c r="B9" s="5" t="s">
        <v>25</v>
      </c>
      <c r="C9" s="13">
        <v>2018</v>
      </c>
      <c r="D9" s="1">
        <v>512762.63</v>
      </c>
      <c r="E9" s="1">
        <v>741347.43</v>
      </c>
      <c r="F9">
        <f t="shared" ref="F9" si="12">LOG(D9)</f>
        <v>5.7099163664012087</v>
      </c>
      <c r="G9">
        <f t="shared" ref="G9" si="13">LOG(E9)</f>
        <v>5.8700217863463919</v>
      </c>
      <c r="H9" s="6">
        <v>56.67</v>
      </c>
      <c r="I9" s="6">
        <v>85.72</v>
      </c>
      <c r="J9" s="6">
        <v>49.44</v>
      </c>
      <c r="K9" s="1">
        <v>8371.7999999999993</v>
      </c>
      <c r="L9" s="1">
        <v>71.180000000000007</v>
      </c>
      <c r="M9" s="1">
        <v>14476</v>
      </c>
      <c r="N9">
        <f>LOG(M9)</f>
        <v>4.1606485744361619</v>
      </c>
      <c r="O9">
        <v>124.09014999999999</v>
      </c>
      <c r="P9">
        <v>0.65556999999999999</v>
      </c>
    </row>
    <row r="10" spans="1:22" ht="15.75" x14ac:dyDescent="0.25">
      <c r="A10" s="5">
        <v>2</v>
      </c>
      <c r="B10" s="5" t="s">
        <v>25</v>
      </c>
      <c r="C10" s="13">
        <v>2019</v>
      </c>
      <c r="D10" s="1">
        <v>539513.85</v>
      </c>
      <c r="E10" s="1">
        <v>799608.95</v>
      </c>
      <c r="F10">
        <f t="shared" ref="F10" si="14">LOG(D10)</f>
        <v>5.7320025980483411</v>
      </c>
      <c r="G10">
        <f t="shared" ref="G10" si="15">LOG(E10)</f>
        <v>5.9028776465189408</v>
      </c>
      <c r="H10" s="6">
        <v>51.11</v>
      </c>
      <c r="I10" s="6">
        <v>86.58</v>
      </c>
      <c r="J10" s="6">
        <v>52.95</v>
      </c>
      <c r="K10" s="1">
        <v>19749</v>
      </c>
      <c r="L10" s="1">
        <v>71.739999999999995</v>
      </c>
      <c r="M10" s="1">
        <v>14639.4</v>
      </c>
      <c r="N10">
        <f>LOG(M10)</f>
        <v>4.1655232774034543</v>
      </c>
      <c r="O10">
        <v>124.09014999999999</v>
      </c>
      <c r="P10">
        <v>0.65556999999999999</v>
      </c>
    </row>
    <row r="11" spans="1:22" ht="15.75" x14ac:dyDescent="0.25">
      <c r="A11" s="5">
        <v>2</v>
      </c>
      <c r="B11" s="5" t="s">
        <v>25</v>
      </c>
      <c r="C11" s="13">
        <v>2020</v>
      </c>
      <c r="D11" s="1">
        <v>533746.36</v>
      </c>
      <c r="E11" s="1">
        <v>811188.31</v>
      </c>
      <c r="F11">
        <f t="shared" ref="F11" si="16">LOG(D11)</f>
        <v>5.7273349262770061</v>
      </c>
      <c r="G11">
        <f t="shared" ref="G11" si="17">LOG(E11)</f>
        <v>5.9091216834351741</v>
      </c>
      <c r="H11" s="6">
        <v>53.33</v>
      </c>
      <c r="I11" s="6">
        <v>89.22</v>
      </c>
      <c r="J11" s="6">
        <v>47.69</v>
      </c>
      <c r="K11" s="1">
        <v>18189.5</v>
      </c>
      <c r="L11" s="1">
        <v>71.77</v>
      </c>
      <c r="M11" s="1">
        <v>14799.4</v>
      </c>
      <c r="N11">
        <f>LOG(M11)</f>
        <v>4.1702441085050088</v>
      </c>
      <c r="O11">
        <v>124.09014999999999</v>
      </c>
      <c r="P11">
        <v>0.65556999999999999</v>
      </c>
    </row>
    <row r="12" spans="1:22" ht="15.75" x14ac:dyDescent="0.25">
      <c r="A12" s="5">
        <v>2</v>
      </c>
      <c r="B12" s="5" t="s">
        <v>25</v>
      </c>
      <c r="C12" s="13">
        <v>2021</v>
      </c>
      <c r="D12" s="1">
        <v>547651.81999999995</v>
      </c>
      <c r="E12" s="1">
        <v>859934.26</v>
      </c>
      <c r="F12">
        <f t="shared" ref="F12" si="18">LOG(D12)</f>
        <v>5.7385045352897031</v>
      </c>
      <c r="G12">
        <f t="shared" ref="G12" si="19">LOG(E12)</f>
        <v>5.934465251696448</v>
      </c>
      <c r="H12" s="6">
        <v>53.72</v>
      </c>
      <c r="I12" s="6">
        <v>89.55</v>
      </c>
      <c r="J12" s="6">
        <v>48.89</v>
      </c>
      <c r="K12" s="1">
        <v>18484.5</v>
      </c>
      <c r="L12" s="1">
        <v>72</v>
      </c>
      <c r="M12" s="1">
        <v>14936.2</v>
      </c>
      <c r="N12">
        <f>LOG(M12)</f>
        <v>4.1742401203075756</v>
      </c>
      <c r="O12">
        <v>124.09014999999999</v>
      </c>
      <c r="P12">
        <v>0.65556999999999999</v>
      </c>
      <c r="S12" s="2"/>
      <c r="T12" s="2"/>
      <c r="U12" s="2"/>
      <c r="V12" s="2"/>
    </row>
    <row r="13" spans="1:22" ht="15.75" x14ac:dyDescent="0.25">
      <c r="A13" s="5">
        <v>2</v>
      </c>
      <c r="B13" s="5" t="s">
        <v>25</v>
      </c>
      <c r="C13" s="13">
        <v>2022</v>
      </c>
      <c r="D13" s="1">
        <v>573528.77</v>
      </c>
      <c r="E13" s="1">
        <v>955193.09</v>
      </c>
      <c r="F13">
        <f t="shared" ref="F13" si="20">LOG(D13)</f>
        <v>5.7585552083556015</v>
      </c>
      <c r="G13">
        <f t="shared" ref="G13" si="21">LOG(E13)</f>
        <v>5.9800911720498195</v>
      </c>
      <c r="H13" s="6">
        <v>61.2</v>
      </c>
      <c r="I13" s="6">
        <v>89.69</v>
      </c>
      <c r="J13" s="9">
        <v>48.9</v>
      </c>
      <c r="K13" s="1">
        <v>22789.200000000001</v>
      </c>
      <c r="L13" s="1">
        <v>72.709999999999994</v>
      </c>
      <c r="M13" s="1">
        <v>15115.2</v>
      </c>
      <c r="N13">
        <f>LOG(M13)</f>
        <v>4.1794138980121307</v>
      </c>
      <c r="O13">
        <v>124.09014999999999</v>
      </c>
      <c r="P13">
        <v>0.65556999999999999</v>
      </c>
      <c r="S13" s="2"/>
      <c r="T13" s="2"/>
      <c r="U13" s="2"/>
      <c r="V13" s="2"/>
    </row>
    <row r="14" spans="1:22" ht="15.75" x14ac:dyDescent="0.25">
      <c r="A14" s="5">
        <v>3</v>
      </c>
      <c r="B14" s="5" t="s">
        <v>26</v>
      </c>
      <c r="C14" s="13">
        <v>2017</v>
      </c>
      <c r="D14" s="1">
        <v>155984.35999999999</v>
      </c>
      <c r="E14" s="1">
        <v>213893.47</v>
      </c>
      <c r="F14">
        <f t="shared" ref="F14" si="22">LOG(D14)</f>
        <v>5.1930810553659432</v>
      </c>
      <c r="G14">
        <f t="shared" ref="G14" si="23">LOG(E14)</f>
        <v>5.330197526103758</v>
      </c>
      <c r="H14" s="6">
        <v>54.32</v>
      </c>
      <c r="I14" s="6">
        <v>89.87</v>
      </c>
      <c r="J14" s="6">
        <v>67.5</v>
      </c>
      <c r="K14" s="1">
        <v>1517</v>
      </c>
      <c r="L14" s="1">
        <v>71.239999999999995</v>
      </c>
      <c r="M14" s="1">
        <v>5342.8</v>
      </c>
      <c r="N14">
        <f>LOG(M14)</f>
        <v>3.7277689173006152</v>
      </c>
      <c r="O14">
        <v>100.0761</v>
      </c>
      <c r="P14">
        <v>-1.3422499999999999</v>
      </c>
    </row>
    <row r="15" spans="1:22" ht="15.75" x14ac:dyDescent="0.25">
      <c r="A15" s="5">
        <v>3</v>
      </c>
      <c r="B15" s="5" t="s">
        <v>26</v>
      </c>
      <c r="C15" s="13">
        <v>2018</v>
      </c>
      <c r="D15" s="1">
        <v>163996.19</v>
      </c>
      <c r="E15" s="1">
        <v>230367.22</v>
      </c>
      <c r="F15">
        <f t="shared" ref="F15" si="24">LOG(D15)</f>
        <v>5.2148337585282061</v>
      </c>
      <c r="G15">
        <f t="shared" ref="G15" si="25">LOG(E15)</f>
        <v>5.3624206814094482</v>
      </c>
      <c r="H15" s="6">
        <v>53.9</v>
      </c>
      <c r="I15" s="6">
        <v>88.37</v>
      </c>
      <c r="J15" s="6">
        <v>67.459999999999994</v>
      </c>
      <c r="K15" s="1">
        <v>2309.4</v>
      </c>
      <c r="L15" s="1">
        <v>71.73</v>
      </c>
      <c r="M15" s="1">
        <v>5411.8</v>
      </c>
      <c r="N15">
        <f>LOG(M15)</f>
        <v>3.7333417383133622</v>
      </c>
      <c r="O15">
        <v>100.0761</v>
      </c>
      <c r="P15">
        <v>-1.3422499999999999</v>
      </c>
    </row>
    <row r="16" spans="1:22" ht="15.75" x14ac:dyDescent="0.25">
      <c r="A16" s="5">
        <v>3</v>
      </c>
      <c r="B16" s="5" t="s">
        <v>26</v>
      </c>
      <c r="C16" s="13">
        <v>2019</v>
      </c>
      <c r="D16" s="1">
        <v>172205.57</v>
      </c>
      <c r="E16" s="1">
        <v>245949.74</v>
      </c>
      <c r="F16">
        <f t="shared" ref="F16" si="26">LOG(D16)</f>
        <v>5.2360471946271723</v>
      </c>
      <c r="G16">
        <f t="shared" ref="G16" si="27">LOG(E16)</f>
        <v>5.3908463677913661</v>
      </c>
      <c r="H16" s="6">
        <v>53.19</v>
      </c>
      <c r="I16" s="6">
        <v>89.45</v>
      </c>
      <c r="J16" s="6">
        <v>67.16</v>
      </c>
      <c r="K16" s="1">
        <v>3026.6</v>
      </c>
      <c r="L16" s="1">
        <v>72.39</v>
      </c>
      <c r="M16" s="1">
        <v>5479.5</v>
      </c>
      <c r="N16">
        <f>LOG(M16)</f>
        <v>3.7387409312675981</v>
      </c>
      <c r="O16">
        <v>100.0761</v>
      </c>
      <c r="P16">
        <v>-1.3422499999999999</v>
      </c>
    </row>
    <row r="17" spans="1:16" ht="15.75" x14ac:dyDescent="0.25">
      <c r="A17" s="5">
        <v>3</v>
      </c>
      <c r="B17" s="5" t="s">
        <v>26</v>
      </c>
      <c r="C17" s="13">
        <v>2020</v>
      </c>
      <c r="D17" s="1">
        <v>169426.61</v>
      </c>
      <c r="E17" s="1">
        <v>241894.13</v>
      </c>
      <c r="F17">
        <f t="shared" ref="F17" si="28">LOG(D17)</f>
        <v>5.2289816212755786</v>
      </c>
      <c r="G17">
        <f t="shared" ref="G17" si="29">LOG(E17)</f>
        <v>5.3836253295460867</v>
      </c>
      <c r="H17" s="6">
        <v>53.5</v>
      </c>
      <c r="I17" s="6">
        <v>90.39</v>
      </c>
      <c r="J17" s="6">
        <v>66.349999999999994</v>
      </c>
      <c r="K17" s="1">
        <v>3106.2</v>
      </c>
      <c r="L17" s="1">
        <v>72.38</v>
      </c>
      <c r="M17" s="1">
        <v>5534.5</v>
      </c>
      <c r="N17">
        <f>LOG(M17)</f>
        <v>3.7430783917821389</v>
      </c>
      <c r="O17">
        <v>100.0761</v>
      </c>
      <c r="P17">
        <v>-1.3422499999999999</v>
      </c>
    </row>
    <row r="18" spans="1:16" ht="15.75" x14ac:dyDescent="0.25">
      <c r="A18" s="5">
        <v>3</v>
      </c>
      <c r="B18" s="5" t="s">
        <v>26</v>
      </c>
      <c r="C18" s="13">
        <v>2021</v>
      </c>
      <c r="D18" s="1">
        <v>175000.5</v>
      </c>
      <c r="E18" s="1">
        <v>253101.28</v>
      </c>
      <c r="F18">
        <f t="shared" ref="F18" si="30">LOG(D18)</f>
        <v>5.2430392895258988</v>
      </c>
      <c r="G18">
        <f t="shared" ref="G18" si="31">LOG(E18)</f>
        <v>5.4032943415056707</v>
      </c>
      <c r="H18" s="6">
        <v>52.55</v>
      </c>
      <c r="I18" s="6">
        <v>90.22</v>
      </c>
      <c r="J18" s="6">
        <v>66.290000000000006</v>
      </c>
      <c r="K18" s="1">
        <v>4183.7</v>
      </c>
      <c r="L18" s="1">
        <v>72.650000000000006</v>
      </c>
      <c r="M18" s="1">
        <v>5580.2</v>
      </c>
      <c r="N18">
        <f>LOG(M18)</f>
        <v>3.7466497647690855</v>
      </c>
      <c r="O18">
        <v>100.0761</v>
      </c>
      <c r="P18">
        <v>-1.3422499999999999</v>
      </c>
    </row>
    <row r="19" spans="1:16" ht="15.75" x14ac:dyDescent="0.25">
      <c r="A19" s="5">
        <v>3</v>
      </c>
      <c r="B19" s="5" t="s">
        <v>26</v>
      </c>
      <c r="C19" s="13">
        <v>2022</v>
      </c>
      <c r="D19" s="1">
        <v>182629.54</v>
      </c>
      <c r="E19" s="1">
        <v>285378.64</v>
      </c>
      <c r="F19">
        <f t="shared" ref="F19" si="32">LOG(D19)</f>
        <v>5.2615710252322385</v>
      </c>
      <c r="G19">
        <f t="shared" ref="G19" si="33">LOG(E19)</f>
        <v>5.4554214639528071</v>
      </c>
      <c r="H19" s="6">
        <v>55.64</v>
      </c>
      <c r="I19" s="6">
        <v>90.65</v>
      </c>
      <c r="J19" s="9">
        <v>66.27</v>
      </c>
      <c r="K19" s="1">
        <v>2559.8000000000002</v>
      </c>
      <c r="L19" s="1">
        <v>73.260000000000005</v>
      </c>
      <c r="M19" s="1">
        <v>5640.6</v>
      </c>
      <c r="N19">
        <f>LOG(M19)</f>
        <v>3.7513253030666158</v>
      </c>
      <c r="O19">
        <v>100.0761</v>
      </c>
      <c r="P19">
        <v>-1.3422499999999999</v>
      </c>
    </row>
    <row r="20" spans="1:16" ht="15.75" x14ac:dyDescent="0.25">
      <c r="A20" s="5">
        <v>4</v>
      </c>
      <c r="B20" s="5" t="s">
        <v>27</v>
      </c>
      <c r="C20" s="13">
        <v>2017</v>
      </c>
      <c r="D20" s="1">
        <v>470983.51</v>
      </c>
      <c r="E20" s="1">
        <v>704705.03</v>
      </c>
      <c r="F20">
        <f t="shared" ref="F20" si="34">LOG(D20)</f>
        <v>5.6730057019455113</v>
      </c>
      <c r="G20">
        <f t="shared" ref="G20" si="35">LOG(E20)</f>
        <v>5.8480073713886371</v>
      </c>
      <c r="H20" s="6">
        <v>53.08</v>
      </c>
      <c r="I20" s="6">
        <v>90.9</v>
      </c>
      <c r="J20" s="6">
        <v>51.89</v>
      </c>
      <c r="K20" s="1">
        <v>10829.8</v>
      </c>
      <c r="L20" s="1">
        <v>71.790000000000006</v>
      </c>
      <c r="M20" s="1">
        <v>6598.7</v>
      </c>
      <c r="N20">
        <f>LOG(M20)</f>
        <v>3.8194583842635912</v>
      </c>
      <c r="O20">
        <v>101.54758</v>
      </c>
      <c r="P20">
        <v>0.50041000000000002</v>
      </c>
    </row>
    <row r="21" spans="1:16" ht="15.75" x14ac:dyDescent="0.25">
      <c r="A21" s="5">
        <v>4</v>
      </c>
      <c r="B21" s="5" t="s">
        <v>27</v>
      </c>
      <c r="C21" s="13">
        <v>2018</v>
      </c>
      <c r="D21" s="1">
        <v>482064.63</v>
      </c>
      <c r="E21" s="1">
        <v>752263.07</v>
      </c>
      <c r="F21">
        <f t="shared" ref="F21" si="36">LOG(D21)</f>
        <v>5.6831052676386928</v>
      </c>
      <c r="G21">
        <f t="shared" ref="G21" si="37">LOG(E21)</f>
        <v>5.8763697420147345</v>
      </c>
      <c r="H21" s="6">
        <v>57.5</v>
      </c>
      <c r="I21" s="6">
        <v>89.91</v>
      </c>
      <c r="J21" s="6">
        <v>48.37</v>
      </c>
      <c r="K21" s="1">
        <v>9056.4</v>
      </c>
      <c r="L21" s="1">
        <v>72.44</v>
      </c>
      <c r="M21" s="1">
        <v>6717.6</v>
      </c>
      <c r="N21">
        <f>LOG(M21)</f>
        <v>3.8272141401777686</v>
      </c>
      <c r="O21">
        <v>101.54758</v>
      </c>
      <c r="P21">
        <v>0.50041000000000002</v>
      </c>
    </row>
    <row r="22" spans="1:16" ht="15.75" x14ac:dyDescent="0.25">
      <c r="A22" s="5">
        <v>4</v>
      </c>
      <c r="B22" s="5" t="s">
        <v>27</v>
      </c>
      <c r="C22" s="13">
        <v>2019</v>
      </c>
      <c r="D22" s="1">
        <v>495607.05</v>
      </c>
      <c r="E22" s="1">
        <v>760247.51</v>
      </c>
      <c r="F22">
        <f t="shared" ref="F22" si="38">LOG(D22)</f>
        <v>5.6951374755779574</v>
      </c>
      <c r="G22">
        <f t="shared" ref="G22" si="39">LOG(E22)</f>
        <v>5.8809550063958724</v>
      </c>
      <c r="H22" s="6">
        <v>53.55</v>
      </c>
      <c r="I22" s="6">
        <v>90.2</v>
      </c>
      <c r="J22" s="6">
        <v>48.15</v>
      </c>
      <c r="K22" s="1">
        <v>26292.2</v>
      </c>
      <c r="L22" s="1">
        <v>73</v>
      </c>
      <c r="M22" s="1">
        <v>6835.1</v>
      </c>
      <c r="N22">
        <f>LOG(M22)</f>
        <v>3.8347448728366129</v>
      </c>
      <c r="O22">
        <v>101.54758</v>
      </c>
      <c r="P22">
        <v>0.50041000000000002</v>
      </c>
    </row>
    <row r="23" spans="1:16" ht="15.75" x14ac:dyDescent="0.25">
      <c r="A23" s="5">
        <v>4</v>
      </c>
      <c r="B23" s="5" t="s">
        <v>27</v>
      </c>
      <c r="C23" s="13">
        <v>2020</v>
      </c>
      <c r="D23" s="1">
        <v>489995.75</v>
      </c>
      <c r="E23" s="1">
        <v>727599.47</v>
      </c>
      <c r="F23">
        <f t="shared" ref="F23" si="40">LOG(D23)</f>
        <v>5.6901923131722834</v>
      </c>
      <c r="G23">
        <f t="shared" ref="G23" si="41">LOG(E23)</f>
        <v>5.8618923740415845</v>
      </c>
      <c r="H23" s="6">
        <v>53.24</v>
      </c>
      <c r="I23" s="6">
        <v>90.42</v>
      </c>
      <c r="J23" s="6">
        <v>49.71</v>
      </c>
      <c r="K23" s="1">
        <v>34117.800000000003</v>
      </c>
      <c r="L23" s="1">
        <v>72.709999999999994</v>
      </c>
      <c r="M23" s="1">
        <v>6394.1</v>
      </c>
      <c r="N23">
        <f>LOG(M23)</f>
        <v>3.8057794241015408</v>
      </c>
      <c r="O23">
        <v>101.54758</v>
      </c>
      <c r="P23">
        <v>0.50041000000000002</v>
      </c>
    </row>
    <row r="24" spans="1:16" ht="15.75" x14ac:dyDescent="0.25">
      <c r="A24" s="5">
        <v>4</v>
      </c>
      <c r="B24" s="5" t="s">
        <v>27</v>
      </c>
      <c r="C24" s="13">
        <v>2021</v>
      </c>
      <c r="D24" s="1">
        <v>506471.91</v>
      </c>
      <c r="E24" s="1">
        <v>839010.13</v>
      </c>
      <c r="F24">
        <f t="shared" ref="F24" si="42">LOG(D24)</f>
        <v>5.7045553634765742</v>
      </c>
      <c r="G24">
        <f t="shared" ref="G24" si="43">LOG(E24)</f>
        <v>5.9237672044241032</v>
      </c>
      <c r="H24" s="6">
        <v>52.25</v>
      </c>
      <c r="I24" s="6">
        <v>90.13</v>
      </c>
      <c r="J24" s="6">
        <v>51.4</v>
      </c>
      <c r="K24" s="1">
        <v>24997.8</v>
      </c>
      <c r="L24" s="1">
        <v>72.94</v>
      </c>
      <c r="M24" s="1">
        <v>6493.6</v>
      </c>
      <c r="N24">
        <f>LOG(M24)</f>
        <v>3.812485532959049</v>
      </c>
      <c r="O24">
        <v>101.54758</v>
      </c>
      <c r="P24">
        <v>0.50041000000000002</v>
      </c>
    </row>
    <row r="25" spans="1:16" ht="15.75" x14ac:dyDescent="0.25">
      <c r="A25" s="5">
        <v>4</v>
      </c>
      <c r="B25" s="5" t="s">
        <v>27</v>
      </c>
      <c r="C25" s="13">
        <v>2022</v>
      </c>
      <c r="D25" s="1">
        <v>529532.98</v>
      </c>
      <c r="E25" s="1">
        <v>991589.59</v>
      </c>
      <c r="F25">
        <f t="shared" ref="F25" si="44">LOG(D25)</f>
        <v>5.7238930137088024</v>
      </c>
      <c r="G25">
        <f t="shared" ref="G25" si="45">LOG(E25)</f>
        <v>5.9963319587681436</v>
      </c>
      <c r="H25" s="6">
        <v>53.88</v>
      </c>
      <c r="I25" s="6">
        <v>90.69</v>
      </c>
      <c r="J25" s="9">
        <v>51.4</v>
      </c>
      <c r="K25" s="1">
        <v>43062</v>
      </c>
      <c r="L25" s="1">
        <v>73.52</v>
      </c>
      <c r="M25" s="1">
        <v>6614.4</v>
      </c>
      <c r="N25">
        <f>LOG(M25)</f>
        <v>3.8204904549471941</v>
      </c>
      <c r="O25">
        <v>101.54758</v>
      </c>
      <c r="P25">
        <v>0.50041000000000002</v>
      </c>
    </row>
    <row r="26" spans="1:16" ht="15.75" x14ac:dyDescent="0.25">
      <c r="A26" s="5">
        <v>5</v>
      </c>
      <c r="B26" s="5" t="s">
        <v>28</v>
      </c>
      <c r="C26" s="13">
        <v>2017</v>
      </c>
      <c r="D26" s="1">
        <v>136501.71</v>
      </c>
      <c r="E26" s="1">
        <v>189787.72</v>
      </c>
      <c r="F26">
        <f t="shared" ref="F26" si="46">LOG(D26)</f>
        <v>5.1351380919548877</v>
      </c>
      <c r="G26">
        <f t="shared" ref="G26" si="47">LOG(E26)</f>
        <v>5.2782681084665564</v>
      </c>
      <c r="H26" s="6">
        <v>51.25</v>
      </c>
      <c r="I26" s="6">
        <v>89.39</v>
      </c>
      <c r="J26" s="6">
        <v>54.46</v>
      </c>
      <c r="K26" s="1">
        <v>3006.6</v>
      </c>
      <c r="L26" s="1">
        <v>69.989999999999995</v>
      </c>
      <c r="M26" s="1">
        <v>3487</v>
      </c>
      <c r="N26">
        <f>LOG(M26)</f>
        <v>3.5424519473759766</v>
      </c>
      <c r="O26">
        <v>102.77970000000001</v>
      </c>
      <c r="P26">
        <v>-1.6115699999999999</v>
      </c>
    </row>
    <row r="27" spans="1:16" ht="15.75" x14ac:dyDescent="0.25">
      <c r="A27" s="5">
        <v>5</v>
      </c>
      <c r="B27" s="5" t="s">
        <v>28</v>
      </c>
      <c r="C27" s="13">
        <v>2018</v>
      </c>
      <c r="D27" s="1">
        <v>142902</v>
      </c>
      <c r="E27" s="1">
        <v>207878.69</v>
      </c>
      <c r="F27">
        <f t="shared" ref="F27" si="48">LOG(D27)</f>
        <v>5.1550383070476924</v>
      </c>
      <c r="G27">
        <f t="shared" ref="G27" si="49">LOG(E27)</f>
        <v>5.3178099713432214</v>
      </c>
      <c r="H27" s="6">
        <v>67.58</v>
      </c>
      <c r="I27" s="6">
        <v>88.04</v>
      </c>
      <c r="J27" s="6">
        <v>50.56</v>
      </c>
      <c r="K27" s="1">
        <v>2876.5</v>
      </c>
      <c r="L27" s="1">
        <v>70.650000000000006</v>
      </c>
      <c r="M27" s="1">
        <v>2174.8000000000002</v>
      </c>
      <c r="N27">
        <f>LOG(M27)</f>
        <v>3.337419324329673</v>
      </c>
      <c r="O27">
        <v>102.77970000000001</v>
      </c>
      <c r="P27">
        <v>-1.6115699999999999</v>
      </c>
    </row>
    <row r="28" spans="1:16" ht="15.75" x14ac:dyDescent="0.25">
      <c r="A28" s="5">
        <v>5</v>
      </c>
      <c r="B28" s="5" t="s">
        <v>28</v>
      </c>
      <c r="C28" s="13">
        <v>2019</v>
      </c>
      <c r="D28" s="1">
        <v>149111.09</v>
      </c>
      <c r="E28" s="1">
        <v>216927.71</v>
      </c>
      <c r="F28">
        <f t="shared" ref="F28" si="50">LOG(D28)</f>
        <v>5.173509944906348</v>
      </c>
      <c r="G28">
        <f t="shared" ref="G28" si="51">LOG(E28)</f>
        <v>5.3363150316427763</v>
      </c>
      <c r="H28" s="6">
        <v>58.49</v>
      </c>
      <c r="I28" s="6">
        <v>87.25</v>
      </c>
      <c r="J28" s="6">
        <v>60.9</v>
      </c>
      <c r="K28" s="1">
        <v>4437.3999999999996</v>
      </c>
      <c r="L28" s="1">
        <v>71.260000000000005</v>
      </c>
      <c r="M28" s="1">
        <v>2241.6</v>
      </c>
      <c r="N28">
        <f>LOG(M28)</f>
        <v>3.3505581179416994</v>
      </c>
      <c r="O28">
        <v>102.77970000000001</v>
      </c>
      <c r="P28">
        <v>-1.6115699999999999</v>
      </c>
    </row>
    <row r="29" spans="1:16" ht="15.75" x14ac:dyDescent="0.25">
      <c r="A29" s="5">
        <v>5</v>
      </c>
      <c r="B29" s="5" t="s">
        <v>28</v>
      </c>
      <c r="C29" s="13">
        <v>2020</v>
      </c>
      <c r="D29" s="1">
        <v>148354.25</v>
      </c>
      <c r="E29" s="1">
        <v>205081.99</v>
      </c>
      <c r="F29">
        <f t="shared" ref="F29" si="52">LOG(D29)</f>
        <v>5.1712999923455447</v>
      </c>
      <c r="G29">
        <f t="shared" ref="G29" si="53">LOG(E29)</f>
        <v>5.3119275229375926</v>
      </c>
      <c r="H29" s="6">
        <v>56.75</v>
      </c>
      <c r="I29" s="6">
        <v>85.65</v>
      </c>
      <c r="J29" s="6">
        <v>55.93</v>
      </c>
      <c r="K29" s="1">
        <v>3511.7</v>
      </c>
      <c r="L29" s="1">
        <v>71.290000000000006</v>
      </c>
      <c r="M29" s="1">
        <v>2064.6</v>
      </c>
      <c r="N29">
        <f>LOG(M29)</f>
        <v>3.3148359230045736</v>
      </c>
      <c r="O29">
        <v>102.77970000000001</v>
      </c>
      <c r="P29">
        <v>-1.6115699999999999</v>
      </c>
    </row>
    <row r="30" spans="1:16" ht="15.75" x14ac:dyDescent="0.25">
      <c r="A30" s="5">
        <v>5</v>
      </c>
      <c r="B30" s="5" t="s">
        <v>28</v>
      </c>
      <c r="C30" s="13">
        <v>2021</v>
      </c>
      <c r="D30" s="1">
        <v>153825.49</v>
      </c>
      <c r="E30" s="1">
        <v>232064.12</v>
      </c>
      <c r="F30">
        <f t="shared" ref="F30" si="54">LOG(D30)</f>
        <v>5.1870283071760079</v>
      </c>
      <c r="G30">
        <f t="shared" ref="G30" si="55">LOG(E30)</f>
        <v>5.3656079983164444</v>
      </c>
      <c r="H30" s="6">
        <v>48.96</v>
      </c>
      <c r="I30" s="6">
        <v>87.08</v>
      </c>
      <c r="J30" s="6">
        <v>52.38</v>
      </c>
      <c r="K30" s="1">
        <v>6204.2</v>
      </c>
      <c r="L30" s="1">
        <v>71.63</v>
      </c>
      <c r="M30" s="1">
        <v>2118.1999999999998</v>
      </c>
      <c r="N30">
        <f>LOG(M30)</f>
        <v>3.3259669637014246</v>
      </c>
      <c r="O30">
        <v>102.77970000000001</v>
      </c>
      <c r="P30">
        <v>-1.6115699999999999</v>
      </c>
    </row>
    <row r="31" spans="1:16" ht="15.75" x14ac:dyDescent="0.25">
      <c r="A31" s="5">
        <v>5</v>
      </c>
      <c r="B31" s="5" t="s">
        <v>28</v>
      </c>
      <c r="C31" s="13">
        <v>2022</v>
      </c>
      <c r="D31" s="1">
        <v>161717.68</v>
      </c>
      <c r="E31" s="1">
        <v>276316.37</v>
      </c>
      <c r="F31">
        <f t="shared" ref="F31" si="56">LOG(D31)</f>
        <v>5.2087575023226238</v>
      </c>
      <c r="G31">
        <f t="shared" ref="G31" si="57">LOG(E31)</f>
        <v>5.4414066148841949</v>
      </c>
      <c r="H31" s="6">
        <v>49.49</v>
      </c>
      <c r="I31" s="6">
        <v>89.85</v>
      </c>
      <c r="J31" s="9">
        <v>52.38</v>
      </c>
      <c r="K31" s="1">
        <v>8882.7000000000007</v>
      </c>
      <c r="L31" s="1">
        <v>72.14</v>
      </c>
      <c r="M31" s="1">
        <v>2179.8000000000002</v>
      </c>
      <c r="N31">
        <f>LOG(M31)</f>
        <v>3.3384166482463584</v>
      </c>
      <c r="O31">
        <v>102.77970000000001</v>
      </c>
      <c r="P31">
        <v>-1.6115699999999999</v>
      </c>
    </row>
    <row r="32" spans="1:16" ht="15.75" x14ac:dyDescent="0.25">
      <c r="A32" s="5">
        <v>6</v>
      </c>
      <c r="B32" s="5" t="s">
        <v>29</v>
      </c>
      <c r="C32" s="13">
        <v>2017</v>
      </c>
      <c r="D32" s="1">
        <v>281571.01</v>
      </c>
      <c r="E32" s="1">
        <v>382885.7</v>
      </c>
      <c r="F32">
        <f t="shared" ref="F32" si="58">LOG(D32)</f>
        <v>5.4495879386620523</v>
      </c>
      <c r="G32">
        <f t="shared" ref="G32" si="59">LOG(E32)</f>
        <v>5.583069146637416</v>
      </c>
      <c r="H32" s="6">
        <v>63.81</v>
      </c>
      <c r="I32" s="6">
        <v>88.88</v>
      </c>
      <c r="J32" s="6">
        <v>42.55</v>
      </c>
      <c r="K32" s="1">
        <v>8200.2000000000007</v>
      </c>
      <c r="L32" s="1">
        <v>68.86</v>
      </c>
      <c r="M32" s="1">
        <v>8283.7999999999993</v>
      </c>
      <c r="N32">
        <f>LOG(M32)</f>
        <v>3.9182296049552501</v>
      </c>
      <c r="O32">
        <v>119.94719000000001</v>
      </c>
      <c r="P32">
        <v>-3.6446700000000001</v>
      </c>
    </row>
    <row r="33" spans="1:16" ht="15.75" x14ac:dyDescent="0.25">
      <c r="A33" s="5">
        <v>6</v>
      </c>
      <c r="B33" s="5" t="s">
        <v>29</v>
      </c>
      <c r="C33" s="13">
        <v>2018</v>
      </c>
      <c r="D33" s="1">
        <v>298484.07</v>
      </c>
      <c r="E33" s="1">
        <v>419392.16</v>
      </c>
      <c r="F33">
        <f t="shared" ref="F33" si="60">LOG(D33)</f>
        <v>5.474921157925329</v>
      </c>
      <c r="G33">
        <f t="shared" ref="G33" si="61">LOG(E33)</f>
        <v>5.6226203076253602</v>
      </c>
      <c r="H33" s="6">
        <v>67.05</v>
      </c>
      <c r="I33" s="6">
        <v>85.32</v>
      </c>
      <c r="J33" s="6">
        <v>40.17</v>
      </c>
      <c r="K33" s="1">
        <v>9519.7999999999993</v>
      </c>
      <c r="L33" s="1">
        <v>69.39</v>
      </c>
      <c r="M33" s="1">
        <v>3527.1</v>
      </c>
      <c r="N33">
        <f>LOG(M33)</f>
        <v>3.5474177729174277</v>
      </c>
      <c r="O33">
        <v>119.94719000000001</v>
      </c>
      <c r="P33">
        <v>-3.6446700000000001</v>
      </c>
    </row>
    <row r="34" spans="1:16" ht="15.75" x14ac:dyDescent="0.25">
      <c r="A34" s="5">
        <v>6</v>
      </c>
      <c r="B34" s="5" t="s">
        <v>29</v>
      </c>
      <c r="C34" s="13">
        <v>2019</v>
      </c>
      <c r="D34" s="1">
        <v>315464.75</v>
      </c>
      <c r="E34" s="1">
        <v>453402.71</v>
      </c>
      <c r="F34">
        <f t="shared" ref="F34" si="62">LOG(D34)</f>
        <v>5.4989508382687058</v>
      </c>
      <c r="G34">
        <f t="shared" ref="G34" si="63">LOG(E34)</f>
        <v>5.6564841115878712</v>
      </c>
      <c r="H34" s="6">
        <v>64.45</v>
      </c>
      <c r="I34" s="6">
        <v>87.13</v>
      </c>
      <c r="J34" s="6">
        <v>39.840000000000003</v>
      </c>
      <c r="K34" s="1">
        <v>16921.099999999999</v>
      </c>
      <c r="L34" s="1">
        <v>70.02</v>
      </c>
      <c r="M34" s="1">
        <v>3566.2</v>
      </c>
      <c r="N34">
        <f>LOG(M34)</f>
        <v>3.5522056956707213</v>
      </c>
      <c r="O34">
        <v>119.94719000000001</v>
      </c>
      <c r="P34">
        <v>-3.6446700000000001</v>
      </c>
    </row>
    <row r="35" spans="1:16" ht="15.75" x14ac:dyDescent="0.25">
      <c r="A35" s="5">
        <v>6</v>
      </c>
      <c r="B35" s="5" t="s">
        <v>29</v>
      </c>
      <c r="C35" s="13">
        <v>2020</v>
      </c>
      <c r="D35" s="1">
        <v>315129.21999999997</v>
      </c>
      <c r="E35" s="1">
        <v>454607.4</v>
      </c>
      <c r="F35">
        <f t="shared" ref="F35" si="64">LOG(D35)</f>
        <v>5.4984886745050252</v>
      </c>
      <c r="G35">
        <f t="shared" ref="G35" si="65">LOG(E35)</f>
        <v>5.6576365007972438</v>
      </c>
      <c r="H35" s="6">
        <v>63.33</v>
      </c>
      <c r="I35" s="6">
        <v>86.57</v>
      </c>
      <c r="J35" s="6">
        <v>42.37</v>
      </c>
      <c r="K35" s="1">
        <v>15824.5</v>
      </c>
      <c r="L35" s="1">
        <v>70.010000000000005</v>
      </c>
      <c r="M35" s="1">
        <v>3548.2</v>
      </c>
      <c r="N35">
        <f>LOG(M35)</f>
        <v>3.5500080915566348</v>
      </c>
      <c r="O35">
        <v>119.94719000000001</v>
      </c>
      <c r="P35">
        <v>-3.6446700000000001</v>
      </c>
    </row>
    <row r="36" spans="1:16" ht="15.75" x14ac:dyDescent="0.25">
      <c r="A36" s="5">
        <v>6</v>
      </c>
      <c r="B36" s="5" t="s">
        <v>29</v>
      </c>
      <c r="C36" s="13">
        <v>2021</v>
      </c>
      <c r="D36" s="1">
        <v>326411.27</v>
      </c>
      <c r="E36" s="1">
        <v>493651.91</v>
      </c>
      <c r="F36">
        <f t="shared" ref="F36" si="66">LOG(D36)</f>
        <v>5.5137651452237169</v>
      </c>
      <c r="G36">
        <f t="shared" ref="G36" si="67">LOG(E36)</f>
        <v>5.6934208216921105</v>
      </c>
      <c r="H36" s="6">
        <v>58.25</v>
      </c>
      <c r="I36" s="6">
        <v>86.28</v>
      </c>
      <c r="J36" s="6">
        <v>43.33</v>
      </c>
      <c r="K36" s="1">
        <v>16266.9</v>
      </c>
      <c r="L36" s="1">
        <v>70.239999999999995</v>
      </c>
      <c r="M36" s="1">
        <v>3585.1</v>
      </c>
      <c r="N36">
        <f>LOG(M36)</f>
        <v>3.5545012740463546</v>
      </c>
      <c r="O36">
        <v>119.94719000000001</v>
      </c>
      <c r="P36">
        <v>-3.6446700000000001</v>
      </c>
    </row>
    <row r="37" spans="1:16" ht="15.75" x14ac:dyDescent="0.25">
      <c r="A37" s="5">
        <v>6</v>
      </c>
      <c r="B37" s="5" t="s">
        <v>29</v>
      </c>
      <c r="C37" s="13">
        <v>2022</v>
      </c>
      <c r="D37" s="1">
        <v>343483.65</v>
      </c>
      <c r="E37" s="1">
        <v>591603.48</v>
      </c>
      <c r="F37">
        <f t="shared" ref="F37" si="68">LOG(D37)</f>
        <v>5.5359060692448407</v>
      </c>
      <c r="G37">
        <f t="shared" ref="G37" si="69">LOG(E37)</f>
        <v>5.7720307199907639</v>
      </c>
      <c r="H37" s="6">
        <v>59.85</v>
      </c>
      <c r="I37" s="6">
        <v>89.1</v>
      </c>
      <c r="J37" s="9">
        <v>43.47</v>
      </c>
      <c r="K37" s="1">
        <v>23526</v>
      </c>
      <c r="L37" s="1">
        <v>70.900000000000006</v>
      </c>
      <c r="M37" s="1">
        <v>3631.1</v>
      </c>
      <c r="N37">
        <f>LOG(M37)</f>
        <v>3.5600382094885368</v>
      </c>
      <c r="O37">
        <v>119.94719000000001</v>
      </c>
      <c r="P37">
        <v>-3.6446700000000001</v>
      </c>
    </row>
    <row r="38" spans="1:16" ht="15.75" x14ac:dyDescent="0.25">
      <c r="A38" s="5">
        <v>7</v>
      </c>
      <c r="B38" s="5" t="s">
        <v>30</v>
      </c>
      <c r="C38" s="13">
        <v>2017</v>
      </c>
      <c r="D38" s="1">
        <v>42073.52</v>
      </c>
      <c r="E38" s="1">
        <v>60657.68</v>
      </c>
      <c r="F38">
        <f t="shared" ref="F38" si="70">LOG(D38)</f>
        <v>4.6240088479482049</v>
      </c>
      <c r="G38">
        <f t="shared" ref="G38" si="71">LOG(E38)</f>
        <v>4.7828857956471449</v>
      </c>
      <c r="H38" s="6">
        <v>54.07</v>
      </c>
      <c r="I38" s="6">
        <v>92.55</v>
      </c>
      <c r="J38" s="6">
        <v>55.84</v>
      </c>
      <c r="K38" s="1">
        <v>296.5</v>
      </c>
      <c r="L38" s="1">
        <v>69.95</v>
      </c>
      <c r="M38" s="1">
        <v>1924.9</v>
      </c>
      <c r="N38">
        <f>LOG(M38)</f>
        <v>3.2844081725061991</v>
      </c>
      <c r="O38">
        <v>102.53598</v>
      </c>
      <c r="P38">
        <v>-3.5186799999999998</v>
      </c>
    </row>
    <row r="39" spans="1:16" ht="15.75" x14ac:dyDescent="0.25">
      <c r="A39" s="5">
        <v>7</v>
      </c>
      <c r="B39" s="5" t="s">
        <v>30</v>
      </c>
      <c r="C39" s="13">
        <v>2018</v>
      </c>
      <c r="D39" s="1">
        <v>44164.11</v>
      </c>
      <c r="E39" s="1">
        <v>66402.990000000005</v>
      </c>
      <c r="F39">
        <f t="shared" ref="F39" si="72">LOG(D39)</f>
        <v>4.645069482910964</v>
      </c>
      <c r="G39">
        <f t="shared" ref="G39" si="73">LOG(E39)</f>
        <v>4.8221876352605637</v>
      </c>
      <c r="H39" s="6">
        <v>48.22</v>
      </c>
      <c r="I39" s="6">
        <v>91.63</v>
      </c>
      <c r="J39" s="6">
        <v>55.52</v>
      </c>
      <c r="K39" s="1">
        <v>4902.8</v>
      </c>
      <c r="L39" s="1">
        <v>70.64</v>
      </c>
      <c r="M39" s="1">
        <v>8391.5</v>
      </c>
      <c r="N39">
        <f>LOG(M39)</f>
        <v>3.923839598909276</v>
      </c>
      <c r="O39">
        <v>102.53598</v>
      </c>
      <c r="P39">
        <v>-3.5186799999999998</v>
      </c>
    </row>
    <row r="40" spans="1:16" ht="15.75" x14ac:dyDescent="0.25">
      <c r="A40" s="5">
        <v>7</v>
      </c>
      <c r="B40" s="5" t="s">
        <v>30</v>
      </c>
      <c r="C40" s="13">
        <v>2019</v>
      </c>
      <c r="D40" s="1">
        <v>46345.45</v>
      </c>
      <c r="E40" s="1">
        <v>72098.240000000005</v>
      </c>
      <c r="F40">
        <f t="shared" ref="F40" si="74">LOG(D40)</f>
        <v>4.6660071033804273</v>
      </c>
      <c r="G40">
        <f t="shared" ref="G40" si="75">LOG(E40)</f>
        <v>4.8579246632268145</v>
      </c>
      <c r="H40" s="6">
        <v>47.64</v>
      </c>
      <c r="I40" s="6">
        <v>92.69</v>
      </c>
      <c r="J40" s="6">
        <v>55.78</v>
      </c>
      <c r="K40" s="1">
        <v>5458.1</v>
      </c>
      <c r="L40" s="1">
        <v>71.209999999999994</v>
      </c>
      <c r="M40" s="1">
        <v>8497.2000000000007</v>
      </c>
      <c r="N40">
        <f>LOG(M40)</f>
        <v>3.9292758404343258</v>
      </c>
      <c r="O40">
        <v>102.53598</v>
      </c>
      <c r="P40">
        <v>-3.5186799999999998</v>
      </c>
    </row>
    <row r="41" spans="1:16" ht="15.75" x14ac:dyDescent="0.25">
      <c r="A41" s="5">
        <v>7</v>
      </c>
      <c r="B41" s="5" t="s">
        <v>30</v>
      </c>
      <c r="C41" s="13">
        <v>2020</v>
      </c>
      <c r="D41" s="1">
        <v>46338.43</v>
      </c>
      <c r="E41" s="1">
        <v>73305.27</v>
      </c>
      <c r="F41">
        <f t="shared" ref="F41" si="76">LOG(D41)</f>
        <v>4.6659413153001532</v>
      </c>
      <c r="G41">
        <f t="shared" ref="G41" si="77">LOG(E41)</f>
        <v>4.8651351976922586</v>
      </c>
      <c r="H41" s="6">
        <v>50.83</v>
      </c>
      <c r="I41" s="6">
        <v>90.52</v>
      </c>
      <c r="J41" s="6">
        <v>55.28</v>
      </c>
      <c r="K41" s="1">
        <v>5399.2</v>
      </c>
      <c r="L41" s="1">
        <v>71.400000000000006</v>
      </c>
      <c r="M41" s="1">
        <v>8467.4</v>
      </c>
      <c r="N41">
        <f>LOG(M41)</f>
        <v>3.9277500763288153</v>
      </c>
      <c r="O41">
        <v>102.53598</v>
      </c>
      <c r="P41">
        <v>-3.5186799999999998</v>
      </c>
    </row>
    <row r="42" spans="1:16" ht="15.75" x14ac:dyDescent="0.25">
      <c r="A42" s="5">
        <v>7</v>
      </c>
      <c r="B42" s="5" t="s">
        <v>30</v>
      </c>
      <c r="C42" s="13">
        <v>2021</v>
      </c>
      <c r="D42" s="1">
        <v>47853.78</v>
      </c>
      <c r="E42" s="1">
        <v>79602.64</v>
      </c>
      <c r="F42">
        <f t="shared" ref="F42" si="78">LOG(D42)</f>
        <v>4.6799162486604713</v>
      </c>
      <c r="G42">
        <f t="shared" ref="G42" si="79">LOG(E42)</f>
        <v>4.9009274712354038</v>
      </c>
      <c r="H42" s="6">
        <v>49.81</v>
      </c>
      <c r="I42" s="6">
        <v>90.81</v>
      </c>
      <c r="J42" s="6">
        <v>55.52</v>
      </c>
      <c r="K42" s="1">
        <v>4923.5</v>
      </c>
      <c r="L42" s="1">
        <v>71.64</v>
      </c>
      <c r="M42" s="1">
        <v>8550.9</v>
      </c>
      <c r="N42">
        <f>LOG(M42)</f>
        <v>3.9320118275308991</v>
      </c>
      <c r="O42">
        <v>102.53598</v>
      </c>
      <c r="P42">
        <v>-3.5186799999999998</v>
      </c>
    </row>
    <row r="43" spans="1:16" ht="15.75" x14ac:dyDescent="0.25">
      <c r="A43" s="5">
        <v>7</v>
      </c>
      <c r="B43" s="5" t="s">
        <v>30</v>
      </c>
      <c r="C43" s="13">
        <v>2022</v>
      </c>
      <c r="D43" s="1">
        <v>49916.06</v>
      </c>
      <c r="E43" s="1">
        <v>90111.95</v>
      </c>
      <c r="F43">
        <f t="shared" ref="F43" si="80">LOG(D43)</f>
        <v>4.6982402980728368</v>
      </c>
      <c r="G43">
        <f t="shared" ref="G43" si="81">LOG(E43)</f>
        <v>4.9547823878150812</v>
      </c>
      <c r="H43" s="6">
        <v>46.18</v>
      </c>
      <c r="I43" s="6">
        <v>91.27</v>
      </c>
      <c r="J43" s="9">
        <v>55.4</v>
      </c>
      <c r="K43" s="1">
        <v>6957.3</v>
      </c>
      <c r="L43" s="1">
        <v>72.16</v>
      </c>
      <c r="M43" s="1">
        <v>8657</v>
      </c>
      <c r="N43">
        <f>LOG(M43)</f>
        <v>3.9373674175172897</v>
      </c>
      <c r="O43">
        <v>102.53598</v>
      </c>
      <c r="P43">
        <v>-3.5186799999999998</v>
      </c>
    </row>
    <row r="44" spans="1:16" ht="15.75" x14ac:dyDescent="0.25">
      <c r="A44" s="5">
        <v>8</v>
      </c>
      <c r="B44" s="5" t="s">
        <v>31</v>
      </c>
      <c r="C44" s="13">
        <v>2017</v>
      </c>
      <c r="D44" s="1">
        <v>220626.1</v>
      </c>
      <c r="E44" s="1">
        <v>306700.43</v>
      </c>
      <c r="F44">
        <f t="shared" ref="F44" si="82">LOG(D44)</f>
        <v>5.3436568880474296</v>
      </c>
      <c r="G44">
        <f t="shared" ref="G44" si="83">LOG(E44)</f>
        <v>5.4867143848722684</v>
      </c>
      <c r="H44" s="6">
        <v>48.77</v>
      </c>
      <c r="I44" s="6">
        <v>85.02</v>
      </c>
      <c r="J44" s="6">
        <v>33.75</v>
      </c>
      <c r="K44" s="1">
        <v>7014.8</v>
      </c>
      <c r="L44" s="1">
        <v>68.25</v>
      </c>
      <c r="M44" s="1">
        <v>8295.2999999999993</v>
      </c>
      <c r="N44">
        <f>LOG(M44)</f>
        <v>3.9188320969292283</v>
      </c>
      <c r="O44">
        <v>105.0273</v>
      </c>
      <c r="P44">
        <v>-4.8555000000000001</v>
      </c>
    </row>
    <row r="45" spans="1:16" ht="15.75" x14ac:dyDescent="0.25">
      <c r="A45" s="5">
        <v>8</v>
      </c>
      <c r="B45" s="5" t="s">
        <v>31</v>
      </c>
      <c r="C45" s="13">
        <v>2018</v>
      </c>
      <c r="D45" s="1">
        <v>232165.99</v>
      </c>
      <c r="E45" s="1">
        <v>332446.07</v>
      </c>
      <c r="F45">
        <f t="shared" ref="F45" si="84">LOG(D45)</f>
        <v>5.3657986002555633</v>
      </c>
      <c r="G45">
        <f t="shared" ref="G45" si="85">LOG(E45)</f>
        <v>5.5217212033201903</v>
      </c>
      <c r="H45" s="6">
        <v>51.75</v>
      </c>
      <c r="I45" s="6">
        <v>82.98</v>
      </c>
      <c r="J45" s="6">
        <v>35.93</v>
      </c>
      <c r="K45" s="1">
        <v>12314.7</v>
      </c>
      <c r="L45" s="1">
        <v>69.02</v>
      </c>
      <c r="M45" s="1">
        <v>1432.1</v>
      </c>
      <c r="N45">
        <f>LOG(M45)</f>
        <v>3.1559733447399019</v>
      </c>
      <c r="O45">
        <v>105.0273</v>
      </c>
      <c r="P45">
        <v>-4.8555000000000001</v>
      </c>
    </row>
    <row r="46" spans="1:16" ht="15.75" x14ac:dyDescent="0.25">
      <c r="A46" s="5">
        <v>8</v>
      </c>
      <c r="B46" s="5" t="s">
        <v>31</v>
      </c>
      <c r="C46" s="13">
        <v>2019</v>
      </c>
      <c r="D46" s="1">
        <v>244378.31</v>
      </c>
      <c r="E46" s="1">
        <v>356676.83</v>
      </c>
      <c r="F46">
        <f t="shared" ref="F46" si="86">LOG(D46)</f>
        <v>5.388062657113343</v>
      </c>
      <c r="G46">
        <f t="shared" ref="G46" si="87">LOG(E46)</f>
        <v>5.5522748981525512</v>
      </c>
      <c r="H46" s="6">
        <v>55.74</v>
      </c>
      <c r="I46" s="6">
        <v>86.62</v>
      </c>
      <c r="J46" s="6">
        <v>36.65</v>
      </c>
      <c r="K46" s="1">
        <v>2428.9</v>
      </c>
      <c r="L46" s="1">
        <v>69.569999999999993</v>
      </c>
      <c r="M46" s="1">
        <v>1451.1</v>
      </c>
      <c r="N46">
        <f>LOG(M46)</f>
        <v>3.1616973421081176</v>
      </c>
      <c r="O46">
        <v>105.0273</v>
      </c>
      <c r="P46">
        <v>-4.8555000000000001</v>
      </c>
    </row>
    <row r="47" spans="1:16" ht="15.75" x14ac:dyDescent="0.25">
      <c r="A47" s="5">
        <v>8</v>
      </c>
      <c r="B47" s="5" t="s">
        <v>31</v>
      </c>
      <c r="C47" s="13">
        <v>2020</v>
      </c>
      <c r="D47" s="1">
        <v>240319.59</v>
      </c>
      <c r="E47" s="1">
        <v>353025.09</v>
      </c>
      <c r="F47">
        <f t="shared" ref="F47" si="88">LOG(D47)</f>
        <v>5.3807891743916114</v>
      </c>
      <c r="G47">
        <f t="shared" ref="G47" si="89">LOG(E47)</f>
        <v>5.5478055724170821</v>
      </c>
      <c r="H47" s="6">
        <v>56.21</v>
      </c>
      <c r="I47" s="6">
        <v>85.45</v>
      </c>
      <c r="J47" s="6">
        <v>36.659999999999997</v>
      </c>
      <c r="K47" s="1">
        <v>7120.5</v>
      </c>
      <c r="L47" s="1">
        <v>69.69</v>
      </c>
      <c r="M47" s="1">
        <v>1455.7</v>
      </c>
      <c r="N47">
        <f>LOG(M47)</f>
        <v>3.1630718820038193</v>
      </c>
      <c r="O47">
        <v>105.0273</v>
      </c>
      <c r="P47">
        <v>-4.8555000000000001</v>
      </c>
    </row>
    <row r="48" spans="1:16" ht="15.75" x14ac:dyDescent="0.25">
      <c r="A48" s="5">
        <v>8</v>
      </c>
      <c r="B48" s="5" t="s">
        <v>31</v>
      </c>
      <c r="C48" s="13">
        <v>2021</v>
      </c>
      <c r="D48" s="1">
        <v>246966.49</v>
      </c>
      <c r="E48" s="1">
        <v>371198.88</v>
      </c>
      <c r="F48">
        <f t="shared" ref="F48" si="90">LOG(D48)</f>
        <v>5.3926380293917289</v>
      </c>
      <c r="G48">
        <f t="shared" ref="G48" si="91">LOG(E48)</f>
        <v>5.5696066571735656</v>
      </c>
      <c r="H48" s="6">
        <v>57.77</v>
      </c>
      <c r="I48" s="6">
        <v>85.46</v>
      </c>
      <c r="J48" s="6">
        <v>33.56</v>
      </c>
      <c r="K48" s="1">
        <v>10513.2</v>
      </c>
      <c r="L48" s="1">
        <v>69.900000000000006</v>
      </c>
      <c r="M48" s="1">
        <v>1473.2</v>
      </c>
      <c r="N48">
        <f>LOG(M48)</f>
        <v>3.1682617101828754</v>
      </c>
      <c r="O48">
        <v>105.0273</v>
      </c>
      <c r="P48">
        <v>-4.8555000000000001</v>
      </c>
    </row>
    <row r="49" spans="1:16" ht="15.75" x14ac:dyDescent="0.25">
      <c r="A49" s="5">
        <v>8</v>
      </c>
      <c r="B49" s="5" t="s">
        <v>31</v>
      </c>
      <c r="C49" s="13">
        <v>2022</v>
      </c>
      <c r="D49" s="1">
        <v>257534.19</v>
      </c>
      <c r="E49" s="1">
        <v>414131.42</v>
      </c>
      <c r="F49">
        <f t="shared" ref="F49" si="92">LOG(D49)</f>
        <v>5.4108348937370323</v>
      </c>
      <c r="G49">
        <f t="shared" ref="G49" si="93">LOG(E49)</f>
        <v>5.6171381815165473</v>
      </c>
      <c r="H49" s="6">
        <v>54.72</v>
      </c>
      <c r="I49" s="6">
        <v>87.32</v>
      </c>
      <c r="J49" s="9">
        <v>35.22</v>
      </c>
      <c r="K49" s="1">
        <v>5809.2</v>
      </c>
      <c r="L49" s="1">
        <v>70.45</v>
      </c>
      <c r="M49" s="1">
        <v>1494.6</v>
      </c>
      <c r="N49">
        <f>LOG(M49)</f>
        <v>3.1745249779201501</v>
      </c>
      <c r="O49">
        <v>105.0273</v>
      </c>
      <c r="P49">
        <v>-4.8555000000000001</v>
      </c>
    </row>
    <row r="50" spans="1:16" ht="15.75" x14ac:dyDescent="0.25">
      <c r="A50" s="5">
        <v>9</v>
      </c>
      <c r="B50" s="5" t="s">
        <v>32</v>
      </c>
      <c r="C50" s="13">
        <v>2017</v>
      </c>
      <c r="D50" s="1">
        <v>49985.15</v>
      </c>
      <c r="E50" s="1">
        <v>69865.210000000006</v>
      </c>
      <c r="F50">
        <f t="shared" ref="F50" si="94">LOG(D50)</f>
        <v>4.6988409997167588</v>
      </c>
      <c r="G50">
        <f t="shared" ref="G50" si="95">LOG(E50)</f>
        <v>4.8442609687892082</v>
      </c>
      <c r="H50" s="6">
        <v>66.25</v>
      </c>
      <c r="I50" s="6">
        <v>94.97</v>
      </c>
      <c r="J50" s="6">
        <v>41.56</v>
      </c>
      <c r="K50" s="1">
        <v>1734.7</v>
      </c>
      <c r="L50" s="1">
        <v>69.989999999999995</v>
      </c>
      <c r="M50" s="1">
        <v>1412.7</v>
      </c>
      <c r="N50">
        <f>LOG(M50)</f>
        <v>3.1500499451623849</v>
      </c>
      <c r="O50">
        <v>107.58394</v>
      </c>
      <c r="P50">
        <v>-2.7577500000000001</v>
      </c>
    </row>
    <row r="51" spans="1:16" ht="15.75" x14ac:dyDescent="0.25">
      <c r="A51" s="5">
        <v>9</v>
      </c>
      <c r="B51" s="5" t="s">
        <v>32</v>
      </c>
      <c r="C51" s="13">
        <v>2018</v>
      </c>
      <c r="D51" s="1">
        <v>52208.04</v>
      </c>
      <c r="E51" s="1">
        <v>73113.279999999999</v>
      </c>
      <c r="F51">
        <f t="shared" ref="F51" si="96">LOG(D51)</f>
        <v>4.717737389185384</v>
      </c>
      <c r="G51">
        <f t="shared" ref="G51" si="97">LOG(E51)</f>
        <v>4.8639962676131487</v>
      </c>
      <c r="H51" s="6">
        <v>65.31</v>
      </c>
      <c r="I51" s="6">
        <v>89.09</v>
      </c>
      <c r="J51" s="6">
        <v>40.78</v>
      </c>
      <c r="K51" s="1">
        <v>3112.9</v>
      </c>
      <c r="L51" s="1">
        <v>70.67</v>
      </c>
      <c r="M51" s="1">
        <v>1948.6</v>
      </c>
      <c r="N51">
        <f>LOG(M51)</f>
        <v>3.2897226982137981</v>
      </c>
      <c r="O51">
        <v>107.58394</v>
      </c>
      <c r="P51">
        <v>-2.7577500000000001</v>
      </c>
    </row>
    <row r="52" spans="1:16" ht="15.75" x14ac:dyDescent="0.25">
      <c r="A52" s="5">
        <v>9</v>
      </c>
      <c r="B52" s="5" t="s">
        <v>32</v>
      </c>
      <c r="C52" s="13">
        <v>2019</v>
      </c>
      <c r="D52" s="1">
        <v>53941.9</v>
      </c>
      <c r="E52" s="1">
        <v>75794.960000000006</v>
      </c>
      <c r="F52">
        <f t="shared" ref="F52" si="98">LOG(D52)</f>
        <v>4.7319262395767003</v>
      </c>
      <c r="G52">
        <f t="shared" ref="G52" si="99">LOG(E52)</f>
        <v>4.8796403280995868</v>
      </c>
      <c r="H52" s="6">
        <v>69.290000000000006</v>
      </c>
      <c r="I52" s="6">
        <v>91.94</v>
      </c>
      <c r="J52" s="6">
        <v>41.21</v>
      </c>
      <c r="K52" s="1">
        <v>2915.2</v>
      </c>
      <c r="L52" s="1">
        <v>71.3</v>
      </c>
      <c r="M52" s="1">
        <v>1971.8</v>
      </c>
      <c r="N52">
        <f>LOG(M52)</f>
        <v>3.2948628622779674</v>
      </c>
      <c r="O52">
        <v>107.58394</v>
      </c>
      <c r="P52">
        <v>-2.7577500000000001</v>
      </c>
    </row>
    <row r="53" spans="1:16" ht="15.75" x14ac:dyDescent="0.25">
      <c r="A53" s="5">
        <v>9</v>
      </c>
      <c r="B53" s="5" t="s">
        <v>32</v>
      </c>
      <c r="C53" s="13">
        <v>2020</v>
      </c>
      <c r="D53" s="1">
        <v>52705.94</v>
      </c>
      <c r="E53" s="1">
        <v>75519.77</v>
      </c>
      <c r="F53">
        <f t="shared" ref="F53" si="100">LOG(D53)</f>
        <v>4.7218595632931812</v>
      </c>
      <c r="G53">
        <f t="shared" ref="G53" si="101">LOG(E53)</f>
        <v>4.8780606586220712</v>
      </c>
      <c r="H53" s="6">
        <v>65.63</v>
      </c>
      <c r="I53" s="6">
        <v>91.03</v>
      </c>
      <c r="J53" s="6">
        <v>39.64</v>
      </c>
      <c r="K53" s="1">
        <v>1863.8</v>
      </c>
      <c r="L53" s="1">
        <v>71.47</v>
      </c>
      <c r="M53" s="1">
        <v>2010.7</v>
      </c>
      <c r="N53">
        <f>LOG(M53)</f>
        <v>3.303347277924582</v>
      </c>
      <c r="O53">
        <v>107.58394</v>
      </c>
      <c r="P53">
        <v>-2.7577500000000001</v>
      </c>
    </row>
    <row r="54" spans="1:16" ht="15.75" x14ac:dyDescent="0.25">
      <c r="A54" s="5">
        <v>9</v>
      </c>
      <c r="B54" s="5" t="s">
        <v>32</v>
      </c>
      <c r="C54" s="13">
        <v>2021</v>
      </c>
      <c r="D54" s="1">
        <v>55369.65</v>
      </c>
      <c r="E54" s="1">
        <v>85961.29</v>
      </c>
      <c r="F54">
        <f t="shared" ref="F54" si="102">LOG(D54)</f>
        <v>4.743271778278972</v>
      </c>
      <c r="G54">
        <f t="shared" ref="G54" si="103">LOG(E54)</f>
        <v>4.9343029242191028</v>
      </c>
      <c r="H54" s="6">
        <v>58.37</v>
      </c>
      <c r="I54" s="6">
        <v>90.39</v>
      </c>
      <c r="J54" s="6">
        <v>40.14</v>
      </c>
      <c r="K54" s="1">
        <v>3677.4</v>
      </c>
      <c r="L54" s="1">
        <v>71.69</v>
      </c>
      <c r="M54" s="1">
        <v>2032.9</v>
      </c>
      <c r="N54">
        <f>LOG(M54)</f>
        <v>3.3081160158656147</v>
      </c>
      <c r="O54">
        <v>107.58394</v>
      </c>
      <c r="P54">
        <v>-2.7577500000000001</v>
      </c>
    </row>
    <row r="55" spans="1:16" ht="15.75" x14ac:dyDescent="0.25">
      <c r="A55" s="5">
        <v>9</v>
      </c>
      <c r="B55" s="5" t="s">
        <v>32</v>
      </c>
      <c r="C55" s="13">
        <v>2022</v>
      </c>
      <c r="D55" s="1">
        <v>57803.199999999997</v>
      </c>
      <c r="E55" s="1">
        <v>95285.43</v>
      </c>
      <c r="F55">
        <f t="shared" ref="F55" si="104">LOG(D55)</f>
        <v>4.7619518817401332</v>
      </c>
      <c r="G55">
        <f t="shared" ref="G55" si="105">LOG(E55)</f>
        <v>4.9790264981791914</v>
      </c>
      <c r="H55" s="6">
        <v>57.68</v>
      </c>
      <c r="I55" s="6">
        <v>89.75</v>
      </c>
      <c r="J55" s="9">
        <v>40.229999999999997</v>
      </c>
      <c r="K55" s="1">
        <v>6309</v>
      </c>
      <c r="L55" s="1">
        <v>72.239999999999995</v>
      </c>
      <c r="M55" s="1">
        <v>2060.1</v>
      </c>
      <c r="N55">
        <f>LOG(M55)</f>
        <v>3.3138883021138676</v>
      </c>
      <c r="O55">
        <v>107.58394</v>
      </c>
      <c r="P55">
        <v>-2.7577500000000001</v>
      </c>
    </row>
    <row r="56" spans="1:16" ht="15.75" x14ac:dyDescent="0.25">
      <c r="A56" s="5">
        <v>10</v>
      </c>
      <c r="B56" s="5" t="s">
        <v>33</v>
      </c>
      <c r="C56" s="13">
        <v>2017</v>
      </c>
      <c r="D56" s="1">
        <v>166081.68</v>
      </c>
      <c r="E56" s="1">
        <v>227706.88</v>
      </c>
      <c r="F56">
        <f t="shared" ref="F56" si="106">LOG(D56)</f>
        <v>5.2203217292984174</v>
      </c>
      <c r="G56">
        <f t="shared" ref="G56" si="107">LOG(E56)</f>
        <v>5.3573761527095467</v>
      </c>
      <c r="H56" s="6">
        <v>55.33</v>
      </c>
      <c r="I56" s="6">
        <v>95.47</v>
      </c>
      <c r="J56" s="6">
        <v>58.46</v>
      </c>
      <c r="K56" s="1">
        <v>1398</v>
      </c>
      <c r="L56" s="1">
        <v>74.45</v>
      </c>
      <c r="M56" s="1">
        <v>2109.4</v>
      </c>
      <c r="N56">
        <f>LOG(M56)</f>
        <v>3.3241589416744768</v>
      </c>
      <c r="O56">
        <v>104.58037</v>
      </c>
      <c r="P56">
        <v>-0.15478</v>
      </c>
    </row>
    <row r="57" spans="1:16" ht="15.75" x14ac:dyDescent="0.25">
      <c r="A57" s="5">
        <v>10</v>
      </c>
      <c r="B57" s="5" t="s">
        <v>33</v>
      </c>
      <c r="C57" s="13">
        <v>2018</v>
      </c>
      <c r="D57" s="1">
        <v>173498.75</v>
      </c>
      <c r="E57" s="1">
        <v>248822.23</v>
      </c>
      <c r="F57">
        <f t="shared" ref="F57" si="108">LOG(D57)</f>
        <v>5.2392963501928405</v>
      </c>
      <c r="G57">
        <f t="shared" ref="G57" si="109">LOG(E57)</f>
        <v>5.3958891780085523</v>
      </c>
      <c r="H57" s="6">
        <v>52.78</v>
      </c>
      <c r="I57" s="6">
        <v>90.83</v>
      </c>
      <c r="J57" s="6">
        <v>54.75</v>
      </c>
      <c r="K57" s="1">
        <v>4386</v>
      </c>
      <c r="L57" s="1">
        <v>74.84</v>
      </c>
      <c r="M57" s="1">
        <v>8377.7000000000007</v>
      </c>
      <c r="N57">
        <f>LOG(M57)</f>
        <v>3.9231248045000977</v>
      </c>
      <c r="O57">
        <v>104.58037</v>
      </c>
      <c r="P57">
        <v>-0.15478</v>
      </c>
    </row>
    <row r="58" spans="1:16" ht="15.75" x14ac:dyDescent="0.25">
      <c r="A58" s="5">
        <v>10</v>
      </c>
      <c r="B58" s="5" t="s">
        <v>33</v>
      </c>
      <c r="C58" s="13">
        <v>2019</v>
      </c>
      <c r="D58" s="1">
        <v>181877.67</v>
      </c>
      <c r="E58" s="1">
        <v>267631.48</v>
      </c>
      <c r="F58">
        <f t="shared" ref="F58" si="110">LOG(D58)</f>
        <v>5.2597793819052692</v>
      </c>
      <c r="G58">
        <f t="shared" ref="G58" si="111">LOG(E58)</f>
        <v>5.4275371957407863</v>
      </c>
      <c r="H58" s="6">
        <v>54</v>
      </c>
      <c r="I58" s="6">
        <v>90.63</v>
      </c>
      <c r="J58" s="6">
        <v>59.06</v>
      </c>
      <c r="K58" s="1">
        <v>5656.4</v>
      </c>
      <c r="L58" s="1">
        <v>75.48</v>
      </c>
      <c r="M58" s="1">
        <v>8457.6</v>
      </c>
      <c r="N58">
        <f>LOG(M58)</f>
        <v>3.9272471414516161</v>
      </c>
      <c r="O58">
        <v>104.58037</v>
      </c>
      <c r="P58">
        <v>-0.15478</v>
      </c>
    </row>
    <row r="59" spans="1:16" ht="15.75" x14ac:dyDescent="0.25">
      <c r="A59" s="5">
        <v>10</v>
      </c>
      <c r="B59" s="5" t="s">
        <v>33</v>
      </c>
      <c r="C59" s="13">
        <v>2020</v>
      </c>
      <c r="D59" s="1">
        <v>174959.21</v>
      </c>
      <c r="E59" s="1">
        <v>254095.35</v>
      </c>
      <c r="F59">
        <f t="shared" ref="F59" si="112">LOG(D59)</f>
        <v>5.2429368090475545</v>
      </c>
      <c r="G59">
        <f t="shared" ref="G59" si="113">LOG(E59)</f>
        <v>5.4049967174399045</v>
      </c>
      <c r="H59" s="6">
        <v>50</v>
      </c>
      <c r="I59" s="6">
        <v>90.8</v>
      </c>
      <c r="J59" s="6">
        <v>58.24</v>
      </c>
      <c r="K59" s="1">
        <v>14249</v>
      </c>
      <c r="L59" s="1">
        <v>75.59</v>
      </c>
      <c r="M59" s="1">
        <v>9007.7999999999993</v>
      </c>
      <c r="N59">
        <f>LOG(M59)</f>
        <v>3.9546187349827777</v>
      </c>
      <c r="O59">
        <v>104.58037</v>
      </c>
      <c r="P59">
        <v>-0.15478</v>
      </c>
    </row>
    <row r="60" spans="1:16" ht="15.75" x14ac:dyDescent="0.25">
      <c r="A60" s="5">
        <v>10</v>
      </c>
      <c r="B60" s="5" t="s">
        <v>33</v>
      </c>
      <c r="C60" s="13">
        <v>2021</v>
      </c>
      <c r="D60" s="1">
        <v>180952.44</v>
      </c>
      <c r="E60" s="1">
        <v>275622.84999999998</v>
      </c>
      <c r="F60">
        <f t="shared" ref="F60" si="114">LOG(D60)</f>
        <v>5.2575644436000148</v>
      </c>
      <c r="G60">
        <f t="shared" ref="G60" si="115">LOG(E60)</f>
        <v>5.4403152191047832</v>
      </c>
      <c r="H60" s="6">
        <v>55.15</v>
      </c>
      <c r="I60" s="6">
        <v>90.91</v>
      </c>
      <c r="J60" s="6">
        <v>60.48</v>
      </c>
      <c r="K60" s="1">
        <v>9768.7000000000007</v>
      </c>
      <c r="L60" s="1">
        <v>75.790000000000006</v>
      </c>
      <c r="M60" s="1">
        <v>9081.7999999999993</v>
      </c>
      <c r="N60">
        <f>LOG(M60)</f>
        <v>3.9581719336084649</v>
      </c>
      <c r="O60">
        <v>104.58037</v>
      </c>
      <c r="P60">
        <v>-0.15478</v>
      </c>
    </row>
    <row r="61" spans="1:16" ht="15.75" x14ac:dyDescent="0.25">
      <c r="A61" s="5">
        <v>10</v>
      </c>
      <c r="B61" s="5" t="s">
        <v>33</v>
      </c>
      <c r="C61" s="13">
        <v>2022</v>
      </c>
      <c r="D61" s="1">
        <v>190163.7</v>
      </c>
      <c r="E61" s="1">
        <v>308842.68</v>
      </c>
      <c r="F61">
        <f t="shared" ref="F61" si="116">LOG(D61)</f>
        <v>5.2791276188355551</v>
      </c>
      <c r="G61">
        <f t="shared" ref="G61" si="117">LOG(E61)</f>
        <v>5.489737312413939</v>
      </c>
      <c r="H61" s="6">
        <v>56.79</v>
      </c>
      <c r="I61" s="6">
        <v>90.27</v>
      </c>
      <c r="J61" s="9">
        <v>59.15</v>
      </c>
      <c r="K61" s="1">
        <v>4817.3999999999996</v>
      </c>
      <c r="L61" s="1">
        <v>76.459999999999994</v>
      </c>
      <c r="M61" s="1">
        <v>9176.6</v>
      </c>
      <c r="N61">
        <f>LOG(M61)</f>
        <v>3.9626818015987717</v>
      </c>
      <c r="O61">
        <v>104.58037</v>
      </c>
      <c r="P61">
        <v>-0.15478</v>
      </c>
    </row>
    <row r="62" spans="1:16" ht="15.75" x14ac:dyDescent="0.25">
      <c r="A62" s="5">
        <v>11</v>
      </c>
      <c r="B62" s="5" t="s">
        <v>5</v>
      </c>
      <c r="C62" s="13">
        <v>2017</v>
      </c>
      <c r="D62" s="1">
        <v>1635359.15</v>
      </c>
      <c r="E62" s="1">
        <v>2365353.85</v>
      </c>
      <c r="F62">
        <f t="shared" ref="F62" si="118">LOG(D62)</f>
        <v>6.2136131452131025</v>
      </c>
      <c r="G62">
        <f t="shared" ref="G62" si="119">LOG(E62)</f>
        <v>6.3738961191149199</v>
      </c>
      <c r="H62" s="6">
        <v>35</v>
      </c>
      <c r="I62" s="6">
        <v>53.5</v>
      </c>
      <c r="J62" s="6">
        <v>22.86</v>
      </c>
      <c r="K62" s="1">
        <v>47262.3</v>
      </c>
      <c r="L62" s="1">
        <v>80.06</v>
      </c>
      <c r="M62" s="1">
        <v>10348.299999999999</v>
      </c>
      <c r="N62">
        <f>LOG(M62)</f>
        <v>4.014869010540834</v>
      </c>
      <c r="O62">
        <v>106.80759</v>
      </c>
      <c r="P62">
        <v>-6.1860900000000001</v>
      </c>
    </row>
    <row r="63" spans="1:16" ht="15.75" x14ac:dyDescent="0.25">
      <c r="A63" s="5">
        <v>11</v>
      </c>
      <c r="B63" s="5" t="s">
        <v>5</v>
      </c>
      <c r="C63" s="13">
        <v>2018</v>
      </c>
      <c r="D63" s="1">
        <v>1735208.29</v>
      </c>
      <c r="E63" s="1">
        <v>2592606.5699999998</v>
      </c>
      <c r="F63">
        <f t="shared" ref="F63" si="120">LOG(D63)</f>
        <v>6.2393516138635912</v>
      </c>
      <c r="G63">
        <f t="shared" ref="G63" si="121">LOG(E63)</f>
        <v>6.4137366172545942</v>
      </c>
      <c r="H63" s="6">
        <v>31.43</v>
      </c>
      <c r="I63" s="6">
        <v>66.569999999999993</v>
      </c>
      <c r="J63" s="6">
        <v>24.14</v>
      </c>
      <c r="K63" s="1">
        <v>49097.4</v>
      </c>
      <c r="L63" s="1">
        <v>80.47</v>
      </c>
      <c r="M63" s="1">
        <v>10428</v>
      </c>
      <c r="N63">
        <f>LOG(M63)</f>
        <v>4.0182010224962914</v>
      </c>
      <c r="O63">
        <v>106.80759</v>
      </c>
      <c r="P63">
        <v>-6.1860900000000001</v>
      </c>
    </row>
    <row r="64" spans="1:16" ht="15.75" x14ac:dyDescent="0.25">
      <c r="A64" s="5">
        <v>11</v>
      </c>
      <c r="B64" s="5" t="s">
        <v>5</v>
      </c>
      <c r="C64" s="13">
        <v>2019</v>
      </c>
      <c r="D64" s="1">
        <v>1836240.55</v>
      </c>
      <c r="E64" s="1">
        <v>2815636.16</v>
      </c>
      <c r="F64">
        <f t="shared" ref="F64" si="122">LOG(D64)</f>
        <v>6.2639295737576512</v>
      </c>
      <c r="G64">
        <f t="shared" ref="G64" si="123">LOG(E64)</f>
        <v>6.4495765340236186</v>
      </c>
      <c r="H64" s="6">
        <v>41.94</v>
      </c>
      <c r="I64" s="6">
        <v>67.97</v>
      </c>
      <c r="J64" s="6">
        <v>24.66</v>
      </c>
      <c r="K64" s="1">
        <v>62094.8</v>
      </c>
      <c r="L64" s="1">
        <v>80.760000000000005</v>
      </c>
      <c r="M64" s="1">
        <v>10504.1</v>
      </c>
      <c r="N64">
        <f>LOG(M64)</f>
        <v>4.0213588476245938</v>
      </c>
      <c r="O64">
        <v>106.80759</v>
      </c>
      <c r="P64">
        <v>-6.1860900000000001</v>
      </c>
    </row>
    <row r="65" spans="1:16" ht="15.75" x14ac:dyDescent="0.25">
      <c r="A65" s="5">
        <v>11</v>
      </c>
      <c r="B65" s="5" t="s">
        <v>5</v>
      </c>
      <c r="C65" s="13">
        <v>2020</v>
      </c>
      <c r="D65" s="1">
        <v>1792291.09</v>
      </c>
      <c r="E65" s="1">
        <v>2767273.49</v>
      </c>
      <c r="F65">
        <f t="shared" ref="F65" si="124">LOG(D65)</f>
        <v>6.253408545791622</v>
      </c>
      <c r="G65">
        <f t="shared" ref="G65" si="125">LOG(E65)</f>
        <v>6.4420520826423537</v>
      </c>
      <c r="H65" s="6">
        <v>42.73</v>
      </c>
      <c r="I65" s="6">
        <v>66.69</v>
      </c>
      <c r="J65" s="6">
        <v>24.86</v>
      </c>
      <c r="K65" s="1">
        <v>42954.7</v>
      </c>
      <c r="L65" s="1">
        <v>80.77</v>
      </c>
      <c r="M65" s="1">
        <v>10562.1</v>
      </c>
      <c r="N65">
        <f>LOG(M65)</f>
        <v>4.0237502749913894</v>
      </c>
      <c r="O65">
        <v>106.80759</v>
      </c>
      <c r="P65">
        <v>-6.1860900000000001</v>
      </c>
    </row>
    <row r="66" spans="1:16" ht="15.75" x14ac:dyDescent="0.25">
      <c r="A66" s="5">
        <v>11</v>
      </c>
      <c r="B66" s="5" t="s">
        <v>5</v>
      </c>
      <c r="C66" s="13">
        <v>2021</v>
      </c>
      <c r="D66" s="1">
        <v>1856075.82</v>
      </c>
      <c r="E66" s="1">
        <v>2912563.13</v>
      </c>
      <c r="F66">
        <f t="shared" ref="F66" si="126">LOG(D66)</f>
        <v>6.2685957130116448</v>
      </c>
      <c r="G66">
        <f t="shared" ref="G66" si="127">LOG(E66)</f>
        <v>6.4642753474979404</v>
      </c>
      <c r="H66" s="6">
        <v>44.19</v>
      </c>
      <c r="I66" s="6">
        <v>66.52</v>
      </c>
      <c r="J66" s="6">
        <v>26.25</v>
      </c>
      <c r="K66" s="1">
        <v>54708.2</v>
      </c>
      <c r="L66" s="1">
        <v>81.11</v>
      </c>
      <c r="M66" s="1">
        <v>10609.7</v>
      </c>
      <c r="N66">
        <f>LOG(M66)</f>
        <v>4.0257031039591569</v>
      </c>
      <c r="O66">
        <v>106.80759</v>
      </c>
      <c r="P66">
        <v>-6.1860900000000001</v>
      </c>
    </row>
    <row r="67" spans="1:16" ht="15.75" x14ac:dyDescent="0.25">
      <c r="A67" s="5">
        <v>11</v>
      </c>
      <c r="B67" s="5" t="s">
        <v>5</v>
      </c>
      <c r="C67" s="13">
        <v>2022</v>
      </c>
      <c r="D67" s="1">
        <v>1953455.85</v>
      </c>
      <c r="E67" s="1">
        <v>3186469.91</v>
      </c>
      <c r="F67">
        <f t="shared" ref="F67" si="128">LOG(D67)</f>
        <v>6.2908036001945113</v>
      </c>
      <c r="G67">
        <f t="shared" ref="G67" si="129">LOG(E67)</f>
        <v>6.5033098217700163</v>
      </c>
      <c r="H67" s="6">
        <v>41.17</v>
      </c>
      <c r="I67" s="6">
        <v>68.06</v>
      </c>
      <c r="J67" s="9">
        <v>27.07</v>
      </c>
      <c r="K67" s="1">
        <v>89223.6</v>
      </c>
      <c r="L67" s="1">
        <v>81.650000000000006</v>
      </c>
      <c r="M67" s="1">
        <v>10680</v>
      </c>
      <c r="N67">
        <f>LOG(M67)</f>
        <v>4.0285712526925375</v>
      </c>
      <c r="O67">
        <v>106.80759</v>
      </c>
      <c r="P67">
        <v>-6.1860900000000001</v>
      </c>
    </row>
    <row r="68" spans="1:16" ht="15.75" x14ac:dyDescent="0.25">
      <c r="A68" s="5">
        <v>12</v>
      </c>
      <c r="B68" s="5" t="s">
        <v>6</v>
      </c>
      <c r="C68" s="13">
        <v>2017</v>
      </c>
      <c r="D68" s="1">
        <v>1343662.14</v>
      </c>
      <c r="E68" s="1">
        <v>1788117.36</v>
      </c>
      <c r="F68">
        <f t="shared" ref="F68" si="130">LOG(D68)</f>
        <v>6.1282900803401121</v>
      </c>
      <c r="G68">
        <f t="shared" ref="G68" si="131">LOG(E68)</f>
        <v>6.2523960195648964</v>
      </c>
      <c r="H68" s="6">
        <v>41.43</v>
      </c>
      <c r="I68" s="6">
        <v>77.849999999999994</v>
      </c>
      <c r="J68" s="6">
        <v>38.39</v>
      </c>
      <c r="K68" s="1">
        <v>38390.6</v>
      </c>
      <c r="L68" s="1">
        <v>70.69</v>
      </c>
      <c r="M68" s="1">
        <v>47922.8</v>
      </c>
      <c r="N68">
        <f>LOG(M68)</f>
        <v>4.6805421847782522</v>
      </c>
      <c r="O68">
        <v>107.63124000000001</v>
      </c>
      <c r="P68">
        <v>-6.9369399999999999</v>
      </c>
    </row>
    <row r="69" spans="1:16" ht="15.75" x14ac:dyDescent="0.25">
      <c r="A69" s="5">
        <v>12</v>
      </c>
      <c r="B69" s="5" t="s">
        <v>6</v>
      </c>
      <c r="C69" s="13">
        <v>2018</v>
      </c>
      <c r="D69" s="1">
        <v>1419624.14</v>
      </c>
      <c r="E69" s="1">
        <v>1960627.65</v>
      </c>
      <c r="F69">
        <f t="shared" ref="F69" si="132">LOG(D69)</f>
        <v>6.1521733756992631</v>
      </c>
      <c r="G69">
        <f t="shared" ref="G69" si="133">LOG(E69)</f>
        <v>6.2923951230381094</v>
      </c>
      <c r="H69" s="6">
        <v>38.729999999999997</v>
      </c>
      <c r="I69" s="6">
        <v>72.8</v>
      </c>
      <c r="J69" s="6">
        <v>38.51</v>
      </c>
      <c r="K69" s="1">
        <v>42278.2</v>
      </c>
      <c r="L69" s="1">
        <v>71.3</v>
      </c>
      <c r="M69" s="1">
        <v>48475.5</v>
      </c>
      <c r="N69">
        <f>LOG(M69)</f>
        <v>4.6855222972993982</v>
      </c>
      <c r="O69">
        <v>107.63124000000001</v>
      </c>
      <c r="P69">
        <v>-6.9369399999999999</v>
      </c>
    </row>
    <row r="70" spans="1:16" ht="15.75" x14ac:dyDescent="0.25">
      <c r="A70" s="5">
        <v>12</v>
      </c>
      <c r="B70" s="5" t="s">
        <v>6</v>
      </c>
      <c r="C70" s="13">
        <v>2019</v>
      </c>
      <c r="D70" s="1">
        <v>1490959.69</v>
      </c>
      <c r="E70" s="1">
        <v>2123153.71</v>
      </c>
      <c r="F70">
        <f t="shared" ref="F70" si="134">LOG(D70)</f>
        <v>6.1734659019055647</v>
      </c>
      <c r="G70">
        <f t="shared" ref="G70" si="135">LOG(E70)</f>
        <v>6.3269814369301578</v>
      </c>
      <c r="H70" s="6">
        <v>45.59</v>
      </c>
      <c r="I70" s="6">
        <v>75.099999999999994</v>
      </c>
      <c r="J70" s="6">
        <v>38.700000000000003</v>
      </c>
      <c r="K70" s="1">
        <v>49284.2</v>
      </c>
      <c r="L70" s="1">
        <v>72.03</v>
      </c>
      <c r="M70" s="1">
        <v>49023.199999999997</v>
      </c>
      <c r="N70">
        <f>LOG(M70)</f>
        <v>4.6904016565077207</v>
      </c>
      <c r="O70">
        <v>107.63124000000001</v>
      </c>
      <c r="P70">
        <v>-6.9369399999999999</v>
      </c>
    </row>
    <row r="71" spans="1:16" ht="15.75" x14ac:dyDescent="0.25">
      <c r="A71" s="5">
        <v>12</v>
      </c>
      <c r="B71" s="5" t="s">
        <v>6</v>
      </c>
      <c r="C71" s="13">
        <v>2020</v>
      </c>
      <c r="D71" s="1">
        <v>1453380.72</v>
      </c>
      <c r="E71" s="1">
        <v>2082107.26</v>
      </c>
      <c r="F71">
        <f t="shared" ref="F71" si="136">LOG(D71)</f>
        <v>6.1623793947087968</v>
      </c>
      <c r="G71">
        <f t="shared" ref="G71" si="137">LOG(E71)</f>
        <v>6.3185030984820383</v>
      </c>
      <c r="H71" s="6">
        <v>41.5</v>
      </c>
      <c r="I71" s="6">
        <v>78.459999999999994</v>
      </c>
      <c r="J71" s="6">
        <v>42.77</v>
      </c>
      <c r="K71" s="1">
        <v>51400.5</v>
      </c>
      <c r="L71" s="1">
        <v>72.09</v>
      </c>
      <c r="M71" s="1">
        <v>48274.2</v>
      </c>
      <c r="N71">
        <f>LOG(M71)</f>
        <v>4.6837150853832945</v>
      </c>
      <c r="O71">
        <v>107.63124000000001</v>
      </c>
      <c r="P71">
        <v>-6.9369399999999999</v>
      </c>
    </row>
    <row r="72" spans="1:16" ht="15.75" x14ac:dyDescent="0.25">
      <c r="A72" s="5">
        <v>12</v>
      </c>
      <c r="B72" s="5" t="s">
        <v>6</v>
      </c>
      <c r="C72" s="13">
        <v>2021</v>
      </c>
      <c r="D72" s="1">
        <v>1507746.39</v>
      </c>
      <c r="E72" s="1">
        <v>2204660.23</v>
      </c>
      <c r="F72">
        <f t="shared" ref="F72" si="138">LOG(D72)</f>
        <v>6.1783282973121452</v>
      </c>
      <c r="G72">
        <f t="shared" ref="G72" si="139">LOG(E72)</f>
        <v>6.3433416679053929</v>
      </c>
      <c r="H72" s="6">
        <v>43.09</v>
      </c>
      <c r="I72" s="6">
        <v>79.34</v>
      </c>
      <c r="J72" s="6">
        <v>40.78</v>
      </c>
      <c r="K72" s="1">
        <v>59948.5</v>
      </c>
      <c r="L72" s="1">
        <v>72.45</v>
      </c>
      <c r="M72" s="1">
        <v>48782.400000000001</v>
      </c>
      <c r="N72">
        <f>LOG(M72)</f>
        <v>4.6882631629542679</v>
      </c>
      <c r="O72">
        <v>107.63124000000001</v>
      </c>
      <c r="P72">
        <v>-6.9369399999999999</v>
      </c>
    </row>
    <row r="73" spans="1:16" ht="15.75" x14ac:dyDescent="0.25">
      <c r="A73" s="5">
        <v>12</v>
      </c>
      <c r="B73" s="5" t="s">
        <v>6</v>
      </c>
      <c r="C73" s="13">
        <v>2022</v>
      </c>
      <c r="D73" s="1">
        <v>1589984.93</v>
      </c>
      <c r="E73" s="1">
        <v>2422782.3199999998</v>
      </c>
      <c r="F73">
        <f t="shared" ref="F73" si="140">LOG(D73)</f>
        <v>6.2013930080633077</v>
      </c>
      <c r="G73">
        <f t="shared" ref="G73" si="141">LOG(E73)</f>
        <v>6.3843143957843731</v>
      </c>
      <c r="H73" s="6">
        <v>47.13</v>
      </c>
      <c r="I73" s="6">
        <v>80.31</v>
      </c>
      <c r="J73" s="9">
        <v>41.88</v>
      </c>
      <c r="K73" s="1">
        <v>80808.3</v>
      </c>
      <c r="L73" s="1">
        <v>73.12</v>
      </c>
      <c r="M73" s="1">
        <v>49405.8</v>
      </c>
      <c r="N73">
        <f>LOG(M73)</f>
        <v>4.6937779359709237</v>
      </c>
      <c r="O73">
        <v>107.63124000000001</v>
      </c>
      <c r="P73">
        <v>-6.9369399999999999</v>
      </c>
    </row>
    <row r="74" spans="1:16" ht="15.75" x14ac:dyDescent="0.25">
      <c r="A74" s="5">
        <v>13</v>
      </c>
      <c r="B74" s="5" t="s">
        <v>7</v>
      </c>
      <c r="C74" s="13">
        <v>2017</v>
      </c>
      <c r="D74" s="1">
        <v>893750.3</v>
      </c>
      <c r="E74" s="1">
        <v>1172794.52</v>
      </c>
      <c r="F74">
        <f t="shared" ref="F74" si="142">LOG(D74)</f>
        <v>5.9512162005862814</v>
      </c>
      <c r="G74">
        <f t="shared" ref="G74" si="143">LOG(E74)</f>
        <v>6.069221928017277</v>
      </c>
      <c r="H74" s="6">
        <v>60</v>
      </c>
      <c r="I74" s="6">
        <v>83.91</v>
      </c>
      <c r="J74" s="6">
        <v>43.47</v>
      </c>
      <c r="K74" s="1">
        <v>19866</v>
      </c>
      <c r="L74" s="1">
        <v>70.52</v>
      </c>
      <c r="M74" s="1">
        <v>34156.400000000001</v>
      </c>
      <c r="N74">
        <f>LOG(M74)</f>
        <v>4.5334720908657857</v>
      </c>
      <c r="O74" s="1">
        <v>110.42426</v>
      </c>
      <c r="P74">
        <v>-7.2120699999999998</v>
      </c>
    </row>
    <row r="75" spans="1:16" ht="15.75" x14ac:dyDescent="0.25">
      <c r="A75" s="5">
        <v>13</v>
      </c>
      <c r="B75" s="5" t="s">
        <v>7</v>
      </c>
      <c r="C75" s="13">
        <v>2018</v>
      </c>
      <c r="D75" s="1">
        <v>941091.14</v>
      </c>
      <c r="E75" s="1">
        <v>1268261.17</v>
      </c>
      <c r="F75">
        <f t="shared" ref="F75" si="144">LOG(D75)</f>
        <v>5.9736316847262776</v>
      </c>
      <c r="G75">
        <f t="shared" ref="G75" si="145">LOG(E75)</f>
        <v>6.1032086959829366</v>
      </c>
      <c r="H75" s="6">
        <v>53.75</v>
      </c>
      <c r="I75" s="6">
        <v>82.97</v>
      </c>
      <c r="J75" s="6">
        <v>50.12</v>
      </c>
      <c r="K75" s="1">
        <v>27474.9</v>
      </c>
      <c r="L75" s="1">
        <v>71.12</v>
      </c>
      <c r="M75" s="1">
        <v>12530.8</v>
      </c>
      <c r="N75">
        <f>LOG(M75)</f>
        <v>4.0979787984079312</v>
      </c>
      <c r="O75" s="1">
        <v>110.42426</v>
      </c>
      <c r="P75">
        <v>-7.2120699999999998</v>
      </c>
    </row>
    <row r="76" spans="1:16" ht="15.75" x14ac:dyDescent="0.25">
      <c r="A76" s="5">
        <v>13</v>
      </c>
      <c r="B76" s="5" t="s">
        <v>7</v>
      </c>
      <c r="C76" s="13">
        <v>2019</v>
      </c>
      <c r="D76" s="1">
        <v>991516.54</v>
      </c>
      <c r="E76" s="1">
        <v>1360960.13</v>
      </c>
      <c r="F76">
        <f t="shared" ref="F76" si="146">LOG(D76)</f>
        <v>5.9962999632925236</v>
      </c>
      <c r="G76">
        <f t="shared" ref="G76" si="147">LOG(E76)</f>
        <v>6.1338454025180873</v>
      </c>
      <c r="H76" s="6">
        <v>51.64</v>
      </c>
      <c r="I76" s="6">
        <v>84.81</v>
      </c>
      <c r="J76" s="6">
        <v>50.08</v>
      </c>
      <c r="K76" s="1">
        <v>18654.7</v>
      </c>
      <c r="L76" s="1">
        <v>71.73</v>
      </c>
      <c r="M76" s="1">
        <v>12714.3</v>
      </c>
      <c r="N76">
        <f>LOG(M76)</f>
        <v>4.1042924546017101</v>
      </c>
      <c r="O76" s="1">
        <v>110.42426</v>
      </c>
      <c r="P76">
        <v>-7.2120699999999998</v>
      </c>
    </row>
    <row r="77" spans="1:16" ht="15.75" x14ac:dyDescent="0.25">
      <c r="A77" s="5">
        <v>13</v>
      </c>
      <c r="B77" s="5" t="s">
        <v>7</v>
      </c>
      <c r="C77" s="13">
        <v>2020</v>
      </c>
      <c r="D77" s="1">
        <v>965227.27</v>
      </c>
      <c r="E77" s="1">
        <v>1347222.49</v>
      </c>
      <c r="F77">
        <f t="shared" ref="F77" si="148">LOG(D77)</f>
        <v>5.9846295832773828</v>
      </c>
      <c r="G77">
        <f t="shared" ref="G77" si="149">LOG(E77)</f>
        <v>6.1294393241565928</v>
      </c>
      <c r="H77" s="6">
        <v>55.21</v>
      </c>
      <c r="I77" s="6">
        <v>84.73</v>
      </c>
      <c r="J77" s="6">
        <v>41.03</v>
      </c>
      <c r="K77" s="1">
        <v>30606.1</v>
      </c>
      <c r="L77" s="1">
        <v>71.87</v>
      </c>
      <c r="M77" s="1">
        <v>11904.6</v>
      </c>
      <c r="N77">
        <f>LOG(M77)</f>
        <v>4.075714807493001</v>
      </c>
      <c r="O77" s="1">
        <v>110.42426</v>
      </c>
      <c r="P77">
        <v>-7.2120699999999998</v>
      </c>
    </row>
    <row r="78" spans="1:16" ht="15.75" x14ac:dyDescent="0.25">
      <c r="A78" s="5">
        <v>13</v>
      </c>
      <c r="B78" s="5" t="s">
        <v>7</v>
      </c>
      <c r="C78" s="13">
        <v>2021</v>
      </c>
      <c r="D78" s="1">
        <v>997345.05</v>
      </c>
      <c r="E78" s="1">
        <v>1419986.62</v>
      </c>
      <c r="F78">
        <f t="shared" ref="F78" si="150">LOG(D78)</f>
        <v>5.9988454365320427</v>
      </c>
      <c r="G78">
        <f t="shared" ref="G78" si="151">LOG(E78)</f>
        <v>6.1522842522087293</v>
      </c>
      <c r="H78" s="6">
        <v>47.94</v>
      </c>
      <c r="I78" s="6">
        <v>84.6</v>
      </c>
      <c r="J78" s="6">
        <v>41.51</v>
      </c>
      <c r="K78" s="1">
        <v>31311.200000000001</v>
      </c>
      <c r="L78" s="1">
        <v>72.16</v>
      </c>
      <c r="M78" s="1">
        <v>12061.5</v>
      </c>
      <c r="N78">
        <f>LOG(M78)</f>
        <v>4.081401321171767</v>
      </c>
      <c r="O78" s="1">
        <v>110.42426</v>
      </c>
      <c r="P78">
        <v>-7.2120699999999998</v>
      </c>
    </row>
    <row r="79" spans="1:16" ht="15.75" x14ac:dyDescent="0.25">
      <c r="A79" s="5">
        <v>13</v>
      </c>
      <c r="B79" s="5" t="s">
        <v>7</v>
      </c>
      <c r="C79" s="13">
        <v>2022</v>
      </c>
      <c r="D79" s="1">
        <v>1050322.1299999999</v>
      </c>
      <c r="E79" s="1">
        <v>1560899.02</v>
      </c>
      <c r="F79">
        <f t="shared" ref="F79" si="152">LOG(D79)</f>
        <v>6.0213225160470429</v>
      </c>
      <c r="G79">
        <f t="shared" ref="G79" si="153">LOG(E79)</f>
        <v>6.1933748079469018</v>
      </c>
      <c r="H79" s="6">
        <v>48.16</v>
      </c>
      <c r="I79" s="6">
        <v>85.14</v>
      </c>
      <c r="J79" s="9">
        <v>42.45</v>
      </c>
      <c r="K79" s="1">
        <v>24992.3</v>
      </c>
      <c r="L79" s="1">
        <v>72.790000000000006</v>
      </c>
      <c r="M79" s="1">
        <v>12252</v>
      </c>
      <c r="N79">
        <f>LOG(M79)</f>
        <v>4.0882069881345346</v>
      </c>
      <c r="O79" s="1">
        <v>110.42426</v>
      </c>
      <c r="P79">
        <v>-7.2120699999999998</v>
      </c>
    </row>
    <row r="80" spans="1:16" ht="15.75" x14ac:dyDescent="0.25">
      <c r="A80" s="5">
        <v>14</v>
      </c>
      <c r="B80" s="5" t="s">
        <v>8</v>
      </c>
      <c r="C80" s="13">
        <v>2017</v>
      </c>
      <c r="D80" s="1">
        <v>92300.24</v>
      </c>
      <c r="E80" s="1">
        <v>119128.72</v>
      </c>
      <c r="F80">
        <f t="shared" ref="F80" si="154">LOG(D80)</f>
        <v>4.965202830284202</v>
      </c>
      <c r="G80">
        <f t="shared" ref="G80" si="155">LOG(E80)</f>
        <v>5.0760164754532902</v>
      </c>
      <c r="H80" s="6">
        <v>35.950000000000003</v>
      </c>
      <c r="I80" s="6">
        <v>88.08</v>
      </c>
      <c r="J80" s="6">
        <v>35.6</v>
      </c>
      <c r="K80" s="1">
        <v>294.60000000000002</v>
      </c>
      <c r="L80" s="1">
        <v>78.89</v>
      </c>
      <c r="M80" s="1">
        <v>3768.2</v>
      </c>
      <c r="N80">
        <f>LOG(M80)</f>
        <v>3.576133945233178</v>
      </c>
      <c r="O80" s="1">
        <v>110.42353</v>
      </c>
      <c r="P80">
        <v>-7.8750900000000001</v>
      </c>
    </row>
    <row r="81" spans="1:16" ht="15.75" x14ac:dyDescent="0.25">
      <c r="A81" s="5">
        <v>14</v>
      </c>
      <c r="B81" s="5" t="s">
        <v>8</v>
      </c>
      <c r="C81" s="13">
        <v>2018</v>
      </c>
      <c r="D81" s="1">
        <v>98024.01</v>
      </c>
      <c r="E81" s="1">
        <v>129818.36</v>
      </c>
      <c r="F81">
        <f t="shared" ref="F81" si="156">LOG(D81)</f>
        <v>4.9913324648084263</v>
      </c>
      <c r="G81">
        <f t="shared" ref="G81" si="157">LOG(E81)</f>
        <v>5.1133361183719872</v>
      </c>
      <c r="H81" s="6">
        <v>50.63</v>
      </c>
      <c r="I81" s="6">
        <v>84.25</v>
      </c>
      <c r="J81" s="6">
        <v>33.03</v>
      </c>
      <c r="K81" s="1">
        <v>6131.7</v>
      </c>
      <c r="L81" s="1">
        <v>79.53</v>
      </c>
      <c r="M81" s="1">
        <v>34358.5</v>
      </c>
      <c r="N81">
        <f>LOG(M81)</f>
        <v>4.5360341954402656</v>
      </c>
      <c r="O81" s="1">
        <v>110.42353</v>
      </c>
      <c r="P81">
        <v>-7.8750900000000001</v>
      </c>
    </row>
    <row r="82" spans="1:16" ht="15.75" x14ac:dyDescent="0.25">
      <c r="A82" s="5">
        <v>14</v>
      </c>
      <c r="B82" s="5" t="s">
        <v>8</v>
      </c>
      <c r="C82" s="13">
        <v>2019</v>
      </c>
      <c r="D82" s="1">
        <v>104485.46</v>
      </c>
      <c r="E82" s="1">
        <v>141047.69</v>
      </c>
      <c r="F82">
        <f t="shared" ref="F82" si="158">LOG(D82)</f>
        <v>5.0190558590488594</v>
      </c>
      <c r="G82">
        <f t="shared" ref="G82" si="159">LOG(E82)</f>
        <v>5.1493659779180545</v>
      </c>
      <c r="H82" s="6">
        <v>35.369999999999997</v>
      </c>
      <c r="I82" s="6">
        <v>85.19</v>
      </c>
      <c r="J82" s="6">
        <v>32.69</v>
      </c>
      <c r="K82" s="1">
        <v>6298.8</v>
      </c>
      <c r="L82" s="1">
        <v>79.989999999999995</v>
      </c>
      <c r="M82" s="1">
        <v>34552.5</v>
      </c>
      <c r="N82">
        <f>LOG(M82)</f>
        <v>4.5384794756443796</v>
      </c>
      <c r="O82" s="1">
        <v>110.42353</v>
      </c>
      <c r="P82">
        <v>-7.8750900000000001</v>
      </c>
    </row>
    <row r="83" spans="1:16" ht="15.75" x14ac:dyDescent="0.25">
      <c r="A83" s="5">
        <v>14</v>
      </c>
      <c r="B83" s="5" t="s">
        <v>8</v>
      </c>
      <c r="C83" s="13">
        <v>2020</v>
      </c>
      <c r="D83" s="1">
        <v>101698.52</v>
      </c>
      <c r="E83" s="1">
        <v>138117.84</v>
      </c>
      <c r="F83">
        <f t="shared" ref="F83" si="160">LOG(D83)</f>
        <v>5.0073146327604032</v>
      </c>
      <c r="G83">
        <f t="shared" ref="G83" si="161">LOG(E83)</f>
        <v>5.1402497778774157</v>
      </c>
      <c r="H83" s="6">
        <v>50</v>
      </c>
      <c r="I83" s="6">
        <v>89.55</v>
      </c>
      <c r="J83" s="6">
        <v>32.4</v>
      </c>
      <c r="K83" s="1">
        <v>2683.4</v>
      </c>
      <c r="L83" s="1">
        <v>79.97</v>
      </c>
      <c r="M83" s="1">
        <v>36516</v>
      </c>
      <c r="N83">
        <f>LOG(M83)</f>
        <v>4.5624831984057916</v>
      </c>
      <c r="O83" s="1">
        <v>110.42353</v>
      </c>
      <c r="P83">
        <v>-7.8750900000000001</v>
      </c>
    </row>
    <row r="84" spans="1:16" ht="15.75" x14ac:dyDescent="0.25">
      <c r="A84" s="5">
        <v>14</v>
      </c>
      <c r="B84" s="5" t="s">
        <v>8</v>
      </c>
      <c r="C84" s="13">
        <v>2021</v>
      </c>
      <c r="D84" s="1">
        <v>107372.56</v>
      </c>
      <c r="E84" s="1">
        <v>149408.4</v>
      </c>
      <c r="F84">
        <f t="shared" ref="F84" si="162">LOG(D84)</f>
        <v>5.03089330777689</v>
      </c>
      <c r="G84">
        <f t="shared" ref="G84" si="163">LOG(E84)</f>
        <v>5.1743750149565928</v>
      </c>
      <c r="H84" s="6">
        <v>45.73</v>
      </c>
      <c r="I84" s="6">
        <v>88.59</v>
      </c>
      <c r="J84" s="6">
        <v>29.66</v>
      </c>
      <c r="K84" s="1">
        <v>2761.3</v>
      </c>
      <c r="L84" s="1">
        <v>80.22</v>
      </c>
      <c r="M84" s="1">
        <v>36742.5</v>
      </c>
      <c r="N84">
        <f>LOG(M84)</f>
        <v>4.5651687028480303</v>
      </c>
      <c r="O84" s="1">
        <v>110.42353</v>
      </c>
      <c r="P84">
        <v>-7.8750900000000001</v>
      </c>
    </row>
    <row r="85" spans="1:16" ht="15.75" x14ac:dyDescent="0.25">
      <c r="A85" s="5">
        <v>14</v>
      </c>
      <c r="B85" s="5" t="s">
        <v>8</v>
      </c>
      <c r="C85" s="13">
        <v>2022</v>
      </c>
      <c r="D85" s="1">
        <v>112898.32</v>
      </c>
      <c r="E85" s="1">
        <v>165690.21</v>
      </c>
      <c r="F85">
        <f t="shared" ref="F85" si="164">LOG(D85)</f>
        <v>5.052687479390352</v>
      </c>
      <c r="G85">
        <f t="shared" ref="G85" si="165">LOG(E85)</f>
        <v>5.2192968483795967</v>
      </c>
      <c r="H85" s="6">
        <v>39.31</v>
      </c>
      <c r="I85" s="6">
        <v>89.16</v>
      </c>
      <c r="J85" s="9">
        <v>46.28</v>
      </c>
      <c r="K85" s="1">
        <v>2275</v>
      </c>
      <c r="L85" s="1">
        <v>80.64</v>
      </c>
      <c r="M85" s="1">
        <v>37032.400000000001</v>
      </c>
      <c r="N85">
        <f>LOG(M85)</f>
        <v>4.5685818587678027</v>
      </c>
      <c r="O85" s="1">
        <v>110.42353</v>
      </c>
      <c r="P85">
        <v>-7.8750900000000001</v>
      </c>
    </row>
    <row r="86" spans="1:16" ht="15.75" x14ac:dyDescent="0.25">
      <c r="A86" s="5">
        <v>15</v>
      </c>
      <c r="B86" s="5" t="s">
        <v>9</v>
      </c>
      <c r="C86" s="13">
        <v>2017</v>
      </c>
      <c r="D86" s="1">
        <v>1482299.58</v>
      </c>
      <c r="E86" s="1">
        <v>2012917.99</v>
      </c>
      <c r="F86">
        <f t="shared" ref="F86" si="166">LOG(D86)</f>
        <v>6.1709359855545642</v>
      </c>
      <c r="G86">
        <f t="shared" ref="G86" si="167">LOG(E86)</f>
        <v>6.3038260812890563</v>
      </c>
      <c r="H86" s="6">
        <v>49.17</v>
      </c>
      <c r="I86" s="6">
        <v>85.49</v>
      </c>
      <c r="J86" s="6">
        <v>50.7</v>
      </c>
      <c r="K86" s="1">
        <v>45044.5</v>
      </c>
      <c r="L86" s="1">
        <v>70.27</v>
      </c>
      <c r="M86" s="1">
        <v>39287.300000000003</v>
      </c>
      <c r="N86">
        <f>LOG(M86)</f>
        <v>4.594252183166776</v>
      </c>
      <c r="O86">
        <v>112.51929</v>
      </c>
      <c r="P86">
        <v>-7.6264099999999999</v>
      </c>
    </row>
    <row r="87" spans="1:16" ht="15.75" x14ac:dyDescent="0.25">
      <c r="A87" s="5">
        <v>15</v>
      </c>
      <c r="B87" s="5" t="s">
        <v>9</v>
      </c>
      <c r="C87" s="13">
        <v>2018</v>
      </c>
      <c r="D87" s="1">
        <v>1563441.82</v>
      </c>
      <c r="E87" s="1">
        <v>2188766.35</v>
      </c>
      <c r="F87">
        <f t="shared" ref="F87" si="168">LOG(D87)</f>
        <v>6.1940817245792186</v>
      </c>
      <c r="G87">
        <f t="shared" ref="G87" si="169">LOG(E87)</f>
        <v>6.340199403266606</v>
      </c>
      <c r="H87" s="6">
        <v>50</v>
      </c>
      <c r="I87" s="6">
        <v>81.8</v>
      </c>
      <c r="J87" s="6">
        <v>50.52</v>
      </c>
      <c r="K87" s="1">
        <v>33333.1</v>
      </c>
      <c r="L87" s="1">
        <v>70.77</v>
      </c>
      <c r="M87" s="1">
        <v>3818.3</v>
      </c>
      <c r="N87">
        <f>LOG(M87)</f>
        <v>3.581870047479891</v>
      </c>
      <c r="O87">
        <v>112.51929</v>
      </c>
      <c r="P87">
        <v>-7.6264099999999999</v>
      </c>
    </row>
    <row r="88" spans="1:16" ht="15.75" x14ac:dyDescent="0.25">
      <c r="A88" s="5">
        <v>15</v>
      </c>
      <c r="B88" s="5" t="s">
        <v>9</v>
      </c>
      <c r="C88" s="13">
        <v>2019</v>
      </c>
      <c r="D88" s="1">
        <v>1649895.64</v>
      </c>
      <c r="E88" s="1">
        <v>2345548.5499999998</v>
      </c>
      <c r="F88">
        <f t="shared" ref="F88" si="170">LOG(D88)</f>
        <v>6.2174564748772418</v>
      </c>
      <c r="G88">
        <f t="shared" ref="G88" si="171">LOG(E88)</f>
        <v>6.3702444267433682</v>
      </c>
      <c r="H88" s="6">
        <v>50.79</v>
      </c>
      <c r="I88" s="6">
        <v>83.06</v>
      </c>
      <c r="J88" s="6">
        <v>50.23</v>
      </c>
      <c r="K88" s="1">
        <v>45452.7</v>
      </c>
      <c r="L88" s="1">
        <v>71.5</v>
      </c>
      <c r="M88" s="1">
        <v>3868.6</v>
      </c>
      <c r="N88">
        <f>LOG(M88)</f>
        <v>3.587553827479486</v>
      </c>
      <c r="O88">
        <v>112.51929</v>
      </c>
      <c r="P88">
        <v>-7.6264099999999999</v>
      </c>
    </row>
    <row r="89" spans="1:16" ht="15.75" x14ac:dyDescent="0.25">
      <c r="A89" s="5">
        <v>15</v>
      </c>
      <c r="B89" s="5" t="s">
        <v>9</v>
      </c>
      <c r="C89" s="13">
        <v>2020</v>
      </c>
      <c r="D89" s="1">
        <v>1611392.55</v>
      </c>
      <c r="E89" s="1">
        <v>2299807.64</v>
      </c>
      <c r="F89">
        <f t="shared" ref="F89" si="172">LOG(D89)</f>
        <v>6.2072013514258346</v>
      </c>
      <c r="G89">
        <f t="shared" ref="G89" si="173">LOG(E89)</f>
        <v>6.3616915123740299</v>
      </c>
      <c r="H89" s="6">
        <v>53.85</v>
      </c>
      <c r="I89" s="6">
        <v>84.06</v>
      </c>
      <c r="J89" s="6">
        <v>47.42</v>
      </c>
      <c r="K89" s="1">
        <v>55660.6</v>
      </c>
      <c r="L89" s="1">
        <v>71.709999999999994</v>
      </c>
      <c r="M89" s="1">
        <v>3668.7</v>
      </c>
      <c r="N89">
        <f>LOG(M89)</f>
        <v>3.5645121997168503</v>
      </c>
      <c r="O89">
        <v>112.51929</v>
      </c>
      <c r="P89">
        <v>-7.6264099999999999</v>
      </c>
    </row>
    <row r="90" spans="1:16" ht="15.75" x14ac:dyDescent="0.25">
      <c r="A90" s="5">
        <v>15</v>
      </c>
      <c r="B90" s="5" t="s">
        <v>9</v>
      </c>
      <c r="C90" s="13">
        <v>2021</v>
      </c>
      <c r="D90" s="1">
        <v>1668749.44</v>
      </c>
      <c r="E90" s="1">
        <v>2454716.48</v>
      </c>
      <c r="F90">
        <f t="shared" ref="F90" si="174">LOG(D90)</f>
        <v>6.2223911329678563</v>
      </c>
      <c r="G90">
        <f t="shared" ref="G90" si="175">LOG(E90)</f>
        <v>6.3900013382992862</v>
      </c>
      <c r="H90" s="6">
        <v>53.57</v>
      </c>
      <c r="I90" s="6">
        <v>83.2</v>
      </c>
      <c r="J90" s="6">
        <v>47.36</v>
      </c>
      <c r="K90" s="1">
        <v>52552.2</v>
      </c>
      <c r="L90" s="1">
        <v>72.14</v>
      </c>
      <c r="M90" s="1">
        <v>3712.9</v>
      </c>
      <c r="N90">
        <f>LOG(M90)</f>
        <v>3.5697132524760833</v>
      </c>
      <c r="O90">
        <v>112.51929</v>
      </c>
      <c r="P90">
        <v>-7.6264099999999999</v>
      </c>
    </row>
    <row r="91" spans="1:16" ht="15.75" x14ac:dyDescent="0.25">
      <c r="A91" s="5">
        <v>15</v>
      </c>
      <c r="B91" s="5" t="s">
        <v>9</v>
      </c>
      <c r="C91" s="13">
        <v>2022</v>
      </c>
      <c r="D91" s="1">
        <v>1757821.43</v>
      </c>
      <c r="E91" s="1">
        <v>2730907.09</v>
      </c>
      <c r="F91">
        <f t="shared" ref="F91" si="176">LOG(D91)</f>
        <v>6.2449747547510661</v>
      </c>
      <c r="G91">
        <f t="shared" ref="G91" si="177">LOG(E91)</f>
        <v>6.4363069249706752</v>
      </c>
      <c r="H91" s="6">
        <v>56.13</v>
      </c>
      <c r="I91" s="6">
        <v>84.28</v>
      </c>
      <c r="J91" s="9">
        <v>47.36</v>
      </c>
      <c r="K91" s="1">
        <v>65355.9</v>
      </c>
      <c r="L91" s="1">
        <v>72.75</v>
      </c>
      <c r="M91" s="1">
        <v>3761.9</v>
      </c>
      <c r="N91">
        <f>LOG(M91)</f>
        <v>3.5754072468163236</v>
      </c>
      <c r="O91">
        <v>112.51929</v>
      </c>
      <c r="P91">
        <v>-7.6264099999999999</v>
      </c>
    </row>
    <row r="92" spans="1:16" ht="15.75" x14ac:dyDescent="0.25">
      <c r="A92" s="5">
        <v>16</v>
      </c>
      <c r="B92" s="5" t="s">
        <v>10</v>
      </c>
      <c r="C92" s="13">
        <v>2017</v>
      </c>
      <c r="D92" s="1">
        <v>410137</v>
      </c>
      <c r="E92" s="1">
        <v>563597.69999999995</v>
      </c>
      <c r="F92">
        <f t="shared" ref="F92" si="178">LOG(D92)</f>
        <v>5.612928950392071</v>
      </c>
      <c r="G92">
        <f t="shared" ref="G92" si="179">LOG(E92)</f>
        <v>5.750969212117683</v>
      </c>
      <c r="H92" s="6">
        <v>47.67</v>
      </c>
      <c r="I92" s="6">
        <v>75.36</v>
      </c>
      <c r="J92" s="6">
        <v>40.11</v>
      </c>
      <c r="K92" s="1">
        <v>15141.9</v>
      </c>
      <c r="L92" s="1">
        <v>71.42</v>
      </c>
      <c r="M92" s="1">
        <v>12345</v>
      </c>
      <c r="N92">
        <f>LOG(M92)</f>
        <v>4.0914910942679512</v>
      </c>
      <c r="O92">
        <v>106.075744</v>
      </c>
      <c r="P92" s="1">
        <v>-6.4552949999999996</v>
      </c>
    </row>
    <row r="93" spans="1:16" ht="15.75" x14ac:dyDescent="0.25">
      <c r="A93" s="5">
        <v>16</v>
      </c>
      <c r="B93" s="5" t="s">
        <v>10</v>
      </c>
      <c r="C93" s="13">
        <v>2018</v>
      </c>
      <c r="D93" s="1">
        <v>433782.71</v>
      </c>
      <c r="E93" s="1">
        <v>613804.41</v>
      </c>
      <c r="F93">
        <f t="shared" ref="F93" si="180">LOG(D93)</f>
        <v>5.6372722376246047</v>
      </c>
      <c r="G93">
        <f t="shared" ref="G93" si="181">LOG(E93)</f>
        <v>5.7880300043821915</v>
      </c>
      <c r="H93" s="6">
        <v>41.25</v>
      </c>
      <c r="I93" s="6">
        <v>71.63</v>
      </c>
      <c r="J93" s="6">
        <v>38.28</v>
      </c>
      <c r="K93" s="1">
        <v>18637.599999999999</v>
      </c>
      <c r="L93" s="1">
        <v>71.95</v>
      </c>
      <c r="M93" s="1">
        <v>39521.9</v>
      </c>
      <c r="N93">
        <f>LOG(M93)</f>
        <v>4.5968378149560936</v>
      </c>
      <c r="O93">
        <v>106.075744</v>
      </c>
      <c r="P93" s="1">
        <v>-6.4552949999999996</v>
      </c>
    </row>
    <row r="94" spans="1:16" ht="15.75" x14ac:dyDescent="0.25">
      <c r="A94" s="5">
        <v>16</v>
      </c>
      <c r="B94" s="5" t="s">
        <v>10</v>
      </c>
      <c r="C94" s="13">
        <v>2019</v>
      </c>
      <c r="D94" s="1">
        <v>456620.03</v>
      </c>
      <c r="E94" s="1">
        <v>661321.34</v>
      </c>
      <c r="F94">
        <f t="shared" ref="F94" si="182">LOG(D94)</f>
        <v>5.65955495824418</v>
      </c>
      <c r="G94">
        <f t="shared" ref="G94" si="183">LOG(E94)</f>
        <v>5.8204125370616282</v>
      </c>
      <c r="H94" s="6">
        <v>43.11</v>
      </c>
      <c r="I94" s="6">
        <v>74.98</v>
      </c>
      <c r="J94" s="6">
        <v>39.159999999999997</v>
      </c>
      <c r="K94" s="1">
        <v>20708.400000000001</v>
      </c>
      <c r="L94" s="1">
        <v>72.44</v>
      </c>
      <c r="M94" s="1">
        <v>39744.800000000003</v>
      </c>
      <c r="N94">
        <f>LOG(M94)</f>
        <v>4.5992803159098843</v>
      </c>
      <c r="O94">
        <v>106.075744</v>
      </c>
      <c r="P94">
        <v>-6.4552949999999996</v>
      </c>
    </row>
    <row r="95" spans="1:16" ht="15.75" x14ac:dyDescent="0.25">
      <c r="A95" s="5">
        <v>16</v>
      </c>
      <c r="B95" s="5" t="s">
        <v>10</v>
      </c>
      <c r="C95" s="13">
        <v>2020</v>
      </c>
      <c r="D95" s="1">
        <v>441148.58</v>
      </c>
      <c r="E95" s="1">
        <v>625895.38</v>
      </c>
      <c r="F95">
        <f t="shared" ref="F95" si="184">LOG(D95)</f>
        <v>5.6445848856274523</v>
      </c>
      <c r="G95">
        <f t="shared" ref="G95" si="185">LOG(E95)</f>
        <v>5.7965017458528463</v>
      </c>
      <c r="H95" s="6">
        <v>50.56</v>
      </c>
      <c r="I95" s="6">
        <v>72.83</v>
      </c>
      <c r="J95" s="6">
        <v>37.979999999999997</v>
      </c>
      <c r="K95" s="1">
        <v>31145.7</v>
      </c>
      <c r="L95" s="1">
        <v>72.45</v>
      </c>
      <c r="M95" s="1">
        <v>40665.699999999997</v>
      </c>
      <c r="N95">
        <f>LOG(M95)</f>
        <v>4.6092282524389656</v>
      </c>
      <c r="O95">
        <v>106.075744</v>
      </c>
      <c r="P95">
        <v>-6.4552949999999996</v>
      </c>
    </row>
    <row r="96" spans="1:16" ht="15.75" x14ac:dyDescent="0.25">
      <c r="A96" s="5">
        <v>16</v>
      </c>
      <c r="B96" s="5" t="s">
        <v>10</v>
      </c>
      <c r="C96" s="13">
        <v>2021</v>
      </c>
      <c r="D96" s="1">
        <v>460963.02</v>
      </c>
      <c r="E96" s="1">
        <v>665887.47</v>
      </c>
      <c r="F96">
        <f t="shared" ref="F96" si="186">LOG(D96)</f>
        <v>5.6636660862266863</v>
      </c>
      <c r="G96">
        <f t="shared" ref="G96" si="187">LOG(E96)</f>
        <v>5.8234008428531148</v>
      </c>
      <c r="H96" s="6">
        <v>54.95</v>
      </c>
      <c r="I96" s="6">
        <v>74.14</v>
      </c>
      <c r="J96" s="6">
        <v>39.21</v>
      </c>
      <c r="K96" s="1">
        <v>25989.5</v>
      </c>
      <c r="L96" s="1">
        <v>72.72</v>
      </c>
      <c r="M96" s="1">
        <v>40878.800000000003</v>
      </c>
      <c r="N96">
        <f>LOG(M96)</f>
        <v>4.6114981385692335</v>
      </c>
      <c r="O96">
        <v>106.075744</v>
      </c>
      <c r="P96">
        <v>-6.4552949999999996</v>
      </c>
    </row>
    <row r="97" spans="1:16" ht="15.75" x14ac:dyDescent="0.25">
      <c r="A97" s="5">
        <v>16</v>
      </c>
      <c r="B97" s="5" t="s">
        <v>10</v>
      </c>
      <c r="C97" s="13">
        <v>2022</v>
      </c>
      <c r="D97" s="1">
        <v>484141.83</v>
      </c>
      <c r="E97" s="1">
        <v>747250.29</v>
      </c>
      <c r="F97">
        <f t="shared" ref="F97" si="188">LOG(D97)</f>
        <v>5.6849726074360936</v>
      </c>
      <c r="G97">
        <f t="shared" ref="G97" si="189">LOG(E97)</f>
        <v>5.8734660922564847</v>
      </c>
      <c r="H97" s="6">
        <v>55.49</v>
      </c>
      <c r="I97" s="6">
        <v>73.97</v>
      </c>
      <c r="J97" s="9">
        <v>38.96</v>
      </c>
      <c r="K97" s="1">
        <v>31283.9</v>
      </c>
      <c r="L97" s="1">
        <v>73.319999999999993</v>
      </c>
      <c r="M97" s="1">
        <v>41150</v>
      </c>
      <c r="N97">
        <f>LOG(M97)</f>
        <v>4.6143698395482886</v>
      </c>
      <c r="O97">
        <v>106.075744</v>
      </c>
      <c r="P97">
        <v>-6.4552949999999996</v>
      </c>
    </row>
    <row r="98" spans="1:16" ht="15.75" x14ac:dyDescent="0.25">
      <c r="A98" s="5">
        <v>17</v>
      </c>
      <c r="B98" s="5" t="s">
        <v>34</v>
      </c>
      <c r="C98" s="13">
        <v>2017</v>
      </c>
      <c r="D98" s="1">
        <v>144933.31</v>
      </c>
      <c r="E98" s="1">
        <v>213035.86</v>
      </c>
      <c r="F98">
        <f t="shared" ref="F98" si="190">LOG(D98)</f>
        <v>5.1611682107759744</v>
      </c>
      <c r="G98">
        <f t="shared" ref="G98" si="191">LOG(E98)</f>
        <v>5.3284527137170974</v>
      </c>
      <c r="H98">
        <v>60</v>
      </c>
      <c r="I98" s="6">
        <v>91.4</v>
      </c>
      <c r="J98" s="6">
        <v>40.29</v>
      </c>
      <c r="K98" s="1">
        <v>592.5</v>
      </c>
      <c r="L98" s="1">
        <v>74.3</v>
      </c>
      <c r="M98" s="1">
        <v>4256</v>
      </c>
      <c r="N98">
        <f>LOG(M98)</f>
        <v>3.6290016192869916</v>
      </c>
      <c r="O98">
        <v>115.12239</v>
      </c>
      <c r="P98">
        <v>-8.2356599999999993</v>
      </c>
    </row>
    <row r="99" spans="1:16" ht="15.75" x14ac:dyDescent="0.25">
      <c r="A99" s="5">
        <v>17</v>
      </c>
      <c r="B99" s="5" t="s">
        <v>34</v>
      </c>
      <c r="C99" s="13">
        <v>2018</v>
      </c>
      <c r="D99" s="1">
        <v>154072.66</v>
      </c>
      <c r="E99" s="1">
        <v>233636.77</v>
      </c>
      <c r="F99">
        <f t="shared" ref="F99" si="192">LOG(D99)</f>
        <v>5.1877255805448206</v>
      </c>
      <c r="G99">
        <f t="shared" ref="G99" si="193">LOG(E99)</f>
        <v>5.3685411935406355</v>
      </c>
      <c r="H99">
        <v>48.5</v>
      </c>
      <c r="I99" s="6">
        <v>88.97</v>
      </c>
      <c r="J99" s="6">
        <v>41.56</v>
      </c>
      <c r="K99" s="1">
        <v>1548.8</v>
      </c>
      <c r="L99" s="1">
        <v>74.77</v>
      </c>
      <c r="M99" s="1">
        <v>4985.1000000000004</v>
      </c>
      <c r="N99">
        <f>LOG(M99)</f>
        <v>3.6976738745860085</v>
      </c>
      <c r="O99">
        <v>115.12239</v>
      </c>
      <c r="P99">
        <v>-8.2356599999999993</v>
      </c>
    </row>
    <row r="100" spans="1:16" ht="15.75" x14ac:dyDescent="0.25">
      <c r="A100" s="5">
        <v>17</v>
      </c>
      <c r="B100" s="5" t="s">
        <v>34</v>
      </c>
      <c r="C100" s="13">
        <v>2019</v>
      </c>
      <c r="D100" s="1">
        <v>162693.35999999999</v>
      </c>
      <c r="E100" s="1">
        <v>251934.1</v>
      </c>
      <c r="F100">
        <f t="shared" ref="F100" si="194">LOG(D100)</f>
        <v>5.2113698284488104</v>
      </c>
      <c r="G100">
        <f t="shared" ref="G100" si="195">LOG(E100)</f>
        <v>5.4012869544752373</v>
      </c>
      <c r="H100">
        <v>65.33</v>
      </c>
      <c r="I100" s="6">
        <v>89.85</v>
      </c>
      <c r="J100" s="6">
        <v>41.34</v>
      </c>
      <c r="K100" s="1">
        <v>7393.2</v>
      </c>
      <c r="L100" s="1">
        <v>75.38</v>
      </c>
      <c r="M100" s="1">
        <v>5045.7</v>
      </c>
      <c r="N100">
        <f>LOG(M100)</f>
        <v>3.7029214252902074</v>
      </c>
      <c r="O100">
        <v>115.12239</v>
      </c>
      <c r="P100">
        <v>-8.2356599999999993</v>
      </c>
    </row>
    <row r="101" spans="1:16" ht="15.75" x14ac:dyDescent="0.25">
      <c r="A101" s="5">
        <v>17</v>
      </c>
      <c r="B101" s="5" t="s">
        <v>34</v>
      </c>
      <c r="C101" s="13">
        <v>2020</v>
      </c>
      <c r="D101" s="1">
        <v>147498.94</v>
      </c>
      <c r="E101" s="1">
        <v>224225.72</v>
      </c>
      <c r="F101">
        <f t="shared" ref="F101" si="196">LOG(D101)</f>
        <v>5.1687888992714361</v>
      </c>
      <c r="G101">
        <f t="shared" ref="G101" si="197">LOG(E101)</f>
        <v>5.3506854272304745</v>
      </c>
      <c r="H101">
        <v>64.33</v>
      </c>
      <c r="I101" s="6">
        <v>88.34</v>
      </c>
      <c r="J101" s="6">
        <v>40.590000000000003</v>
      </c>
      <c r="K101" s="1">
        <v>5432.7</v>
      </c>
      <c r="L101" s="1">
        <v>75.5</v>
      </c>
      <c r="M101" s="1">
        <v>5414.4</v>
      </c>
      <c r="N101">
        <f>LOG(M101)</f>
        <v>3.7335503370229106</v>
      </c>
      <c r="O101">
        <v>115.12239</v>
      </c>
      <c r="P101">
        <v>-8.2356599999999993</v>
      </c>
    </row>
    <row r="102" spans="1:16" ht="15.75" x14ac:dyDescent="0.25">
      <c r="A102" s="5">
        <v>17</v>
      </c>
      <c r="B102" s="5" t="s">
        <v>34</v>
      </c>
      <c r="C102" s="13">
        <v>2021</v>
      </c>
      <c r="D102" s="1">
        <v>143864.97</v>
      </c>
      <c r="E102" s="1">
        <v>220467.45</v>
      </c>
      <c r="F102">
        <f t="shared" ref="F102" si="198">LOG(D102)</f>
        <v>5.1579550594841024</v>
      </c>
      <c r="G102">
        <f t="shared" ref="G102" si="199">LOG(E102)</f>
        <v>5.3433444789336484</v>
      </c>
      <c r="H102">
        <v>54.29</v>
      </c>
      <c r="I102" s="6">
        <v>89.28</v>
      </c>
      <c r="J102" s="6">
        <v>42.11</v>
      </c>
      <c r="K102" s="1">
        <v>6355.2</v>
      </c>
      <c r="L102" s="1">
        <v>75.69</v>
      </c>
      <c r="M102" s="1">
        <v>5470.8</v>
      </c>
      <c r="N102">
        <f>LOG(M102)</f>
        <v>3.7380508382495869</v>
      </c>
      <c r="O102">
        <v>115.12239</v>
      </c>
      <c r="P102">
        <v>-8.2356599999999993</v>
      </c>
    </row>
    <row r="103" spans="1:16" ht="15.75" x14ac:dyDescent="0.25">
      <c r="A103" s="5">
        <v>17</v>
      </c>
      <c r="B103" s="5" t="s">
        <v>34</v>
      </c>
      <c r="C103" s="13">
        <v>2022</v>
      </c>
      <c r="D103" s="1">
        <v>150821.44</v>
      </c>
      <c r="E103" s="1">
        <v>245233.24</v>
      </c>
      <c r="F103">
        <f t="shared" ref="F103" si="200">LOG(D103)</f>
        <v>5.1784630829915752</v>
      </c>
      <c r="G103">
        <f t="shared" ref="G103" si="201">LOG(E103)</f>
        <v>5.3895793360347053</v>
      </c>
      <c r="H103">
        <v>53.5</v>
      </c>
      <c r="I103" s="6">
        <v>89.19</v>
      </c>
      <c r="J103" s="9">
        <v>43.36</v>
      </c>
      <c r="K103" s="1">
        <v>6002.1</v>
      </c>
      <c r="L103" s="1">
        <v>76.44</v>
      </c>
      <c r="M103" s="1">
        <v>5541.4</v>
      </c>
      <c r="N103">
        <f>LOG(M103)</f>
        <v>3.7436195003715613</v>
      </c>
      <c r="O103">
        <v>115.12239</v>
      </c>
      <c r="P103">
        <v>-8.2356599999999993</v>
      </c>
    </row>
    <row r="104" spans="1:16" ht="15.75" x14ac:dyDescent="0.25">
      <c r="A104" s="5">
        <v>18</v>
      </c>
      <c r="B104" s="5" t="s">
        <v>35</v>
      </c>
      <c r="C104" s="13">
        <v>2017</v>
      </c>
      <c r="D104" s="1">
        <v>94608.21</v>
      </c>
      <c r="E104" s="1">
        <v>123822.76</v>
      </c>
      <c r="F104">
        <f t="shared" ref="F104" si="202">LOG(D104)</f>
        <v>4.9759288256510983</v>
      </c>
      <c r="G104">
        <f t="shared" ref="G104" si="203">LOG(E104)</f>
        <v>5.0928004801760869</v>
      </c>
      <c r="H104" s="6">
        <v>50</v>
      </c>
      <c r="I104" s="6">
        <v>88.02</v>
      </c>
      <c r="J104" s="6">
        <v>69.099999999999994</v>
      </c>
      <c r="K104" s="1">
        <v>5413.5</v>
      </c>
      <c r="L104" s="1">
        <v>66.58</v>
      </c>
      <c r="M104" s="1">
        <v>5001.8</v>
      </c>
      <c r="N104">
        <f>LOG(M104)</f>
        <v>3.6991263222139739</v>
      </c>
      <c r="O104">
        <v>117.63696</v>
      </c>
      <c r="P104">
        <v>-8.1217900000000007</v>
      </c>
    </row>
    <row r="105" spans="1:16" ht="15.75" x14ac:dyDescent="0.25">
      <c r="A105" s="5">
        <v>18</v>
      </c>
      <c r="B105" s="5" t="s">
        <v>35</v>
      </c>
      <c r="C105" s="13">
        <v>2018</v>
      </c>
      <c r="D105" s="1">
        <v>90349.13</v>
      </c>
      <c r="E105" s="1">
        <v>123868.02</v>
      </c>
      <c r="F105">
        <f t="shared" ref="F105" si="204">LOG(D105)</f>
        <v>4.9559239749598349</v>
      </c>
      <c r="G105">
        <f t="shared" ref="G105" si="205">LOG(E105)</f>
        <v>5.0929591955587883</v>
      </c>
      <c r="H105" s="6">
        <v>35.42</v>
      </c>
      <c r="I105" s="6">
        <v>87.17</v>
      </c>
      <c r="J105" s="6">
        <v>66.56</v>
      </c>
      <c r="K105" s="1">
        <v>4135.1000000000004</v>
      </c>
      <c r="L105" s="1">
        <v>67.3</v>
      </c>
      <c r="M105" s="1">
        <v>2612.6</v>
      </c>
      <c r="N105">
        <f>LOG(M105)</f>
        <v>3.4170729225131873</v>
      </c>
      <c r="O105">
        <v>117.63696</v>
      </c>
      <c r="P105">
        <v>-8.1217900000000007</v>
      </c>
    </row>
    <row r="106" spans="1:16" ht="15.75" x14ac:dyDescent="0.25">
      <c r="A106" s="5">
        <v>18</v>
      </c>
      <c r="B106" s="5" t="s">
        <v>35</v>
      </c>
      <c r="C106" s="13">
        <v>2019</v>
      </c>
      <c r="D106" s="1">
        <v>93872.44</v>
      </c>
      <c r="E106" s="1">
        <v>132500.1</v>
      </c>
      <c r="F106">
        <f t="shared" ref="F106" si="206">LOG(D106)</f>
        <v>4.9725381065072085</v>
      </c>
      <c r="G106">
        <f t="shared" ref="G106" si="207">LOG(E106)</f>
        <v>5.1222162060421237</v>
      </c>
      <c r="H106" s="6">
        <v>40.229999999999997</v>
      </c>
      <c r="I106" s="6">
        <v>87.51</v>
      </c>
      <c r="J106" s="6">
        <v>65.67</v>
      </c>
      <c r="K106" s="1">
        <v>3519</v>
      </c>
      <c r="L106" s="1">
        <v>68.14</v>
      </c>
      <c r="M106" s="1">
        <v>2649.8</v>
      </c>
      <c r="N106">
        <f>LOG(M106)</f>
        <v>3.4232130957578493</v>
      </c>
      <c r="O106">
        <v>117.63696</v>
      </c>
      <c r="P106">
        <v>-8.1217900000000007</v>
      </c>
    </row>
    <row r="107" spans="1:16" ht="15.75" x14ac:dyDescent="0.25">
      <c r="A107" s="5">
        <v>18</v>
      </c>
      <c r="B107" s="5" t="s">
        <v>35</v>
      </c>
      <c r="C107" s="13">
        <v>2020</v>
      </c>
      <c r="D107" s="1">
        <v>93288.87</v>
      </c>
      <c r="E107" s="1">
        <v>133613.74</v>
      </c>
      <c r="F107">
        <f t="shared" ref="F107" si="208">LOG(D107)</f>
        <v>4.9698298325362247</v>
      </c>
      <c r="G107">
        <f t="shared" ref="G107" si="209">LOG(E107)</f>
        <v>5.1258511205598545</v>
      </c>
      <c r="H107" s="6">
        <v>50.98</v>
      </c>
      <c r="I107" s="6">
        <v>88.63</v>
      </c>
      <c r="J107" s="6">
        <v>66.739999999999995</v>
      </c>
      <c r="K107" s="1">
        <v>6582.4</v>
      </c>
      <c r="L107" s="1">
        <v>68.25</v>
      </c>
      <c r="M107" s="1">
        <v>2670</v>
      </c>
      <c r="N107">
        <f>LOG(M107)</f>
        <v>3.4265112613645754</v>
      </c>
      <c r="O107">
        <v>117.63696</v>
      </c>
      <c r="P107">
        <v>-8.1217900000000007</v>
      </c>
    </row>
    <row r="108" spans="1:16" ht="15.75" x14ac:dyDescent="0.25">
      <c r="A108" s="5">
        <v>18</v>
      </c>
      <c r="B108" s="5" t="s">
        <v>35</v>
      </c>
      <c r="C108" s="13">
        <v>2021</v>
      </c>
      <c r="D108" s="1">
        <v>95437.86</v>
      </c>
      <c r="E108" s="1">
        <v>140115.97</v>
      </c>
      <c r="F108">
        <f t="shared" ref="F108" si="210">LOG(D108)</f>
        <v>4.9797206926005604</v>
      </c>
      <c r="G108">
        <f t="shared" ref="G108" si="211">LOG(E108)</f>
        <v>5.1464876376955306</v>
      </c>
      <c r="H108" s="6">
        <v>45.1</v>
      </c>
      <c r="I108" s="6">
        <v>88.52</v>
      </c>
      <c r="J108" s="6">
        <v>65.59</v>
      </c>
      <c r="K108" s="1">
        <v>9090.5</v>
      </c>
      <c r="L108" s="1">
        <v>68.650000000000006</v>
      </c>
      <c r="M108" s="1">
        <v>2702.2</v>
      </c>
      <c r="N108">
        <f>LOG(M108)</f>
        <v>3.4317174896460134</v>
      </c>
      <c r="O108">
        <v>117.63696</v>
      </c>
      <c r="P108">
        <v>-8.1217900000000007</v>
      </c>
    </row>
    <row r="109" spans="1:16" ht="15.75" x14ac:dyDescent="0.25">
      <c r="A109" s="5">
        <v>18</v>
      </c>
      <c r="B109" s="5" t="s">
        <v>35</v>
      </c>
      <c r="C109" s="13">
        <v>2022</v>
      </c>
      <c r="D109" s="1">
        <v>102074.07</v>
      </c>
      <c r="E109" s="1">
        <v>156944.04999999999</v>
      </c>
      <c r="F109">
        <f t="shared" ref="F109" si="212">LOG(D109)</f>
        <v>5.0089154317426408</v>
      </c>
      <c r="G109">
        <f t="shared" ref="G109" si="213">LOG(E109)</f>
        <v>5.195744855549604</v>
      </c>
      <c r="H109" s="6">
        <v>43.39</v>
      </c>
      <c r="I109" s="6">
        <v>89.3</v>
      </c>
      <c r="J109" s="9">
        <v>65.61</v>
      </c>
      <c r="K109" s="1">
        <v>11031.5</v>
      </c>
      <c r="L109" s="1">
        <v>69.459999999999994</v>
      </c>
      <c r="M109" s="1">
        <v>2741.1</v>
      </c>
      <c r="N109">
        <f>LOG(M109)</f>
        <v>3.4379248796314323</v>
      </c>
      <c r="O109">
        <v>117.63696</v>
      </c>
      <c r="P109">
        <v>-8.1217900000000007</v>
      </c>
    </row>
    <row r="110" spans="1:16" ht="15.75" x14ac:dyDescent="0.25">
      <c r="A110" s="5">
        <v>19</v>
      </c>
      <c r="B110" s="5" t="s">
        <v>36</v>
      </c>
      <c r="C110" s="13">
        <v>2017</v>
      </c>
      <c r="D110" s="1">
        <v>62725.41</v>
      </c>
      <c r="E110" s="1">
        <v>90758.93</v>
      </c>
      <c r="F110">
        <f t="shared" ref="F110" si="214">LOG(D110)</f>
        <v>4.7974435087296632</v>
      </c>
      <c r="G110">
        <f t="shared" ref="G110" si="215">LOG(E110)</f>
        <v>4.9578893671397948</v>
      </c>
      <c r="H110" s="6">
        <v>41.48</v>
      </c>
      <c r="I110" s="6">
        <v>91.18</v>
      </c>
      <c r="J110" s="6">
        <v>59.31</v>
      </c>
      <c r="K110" s="1">
        <v>1081.9000000000001</v>
      </c>
      <c r="L110" s="1">
        <v>69.84</v>
      </c>
      <c r="M110" s="1">
        <v>5282.8</v>
      </c>
      <c r="N110">
        <f>LOG(M110)</f>
        <v>3.7228641691687598</v>
      </c>
      <c r="O110">
        <v>120.69786000000001</v>
      </c>
      <c r="P110">
        <v>-8.5656800000000004</v>
      </c>
    </row>
    <row r="111" spans="1:16" ht="15.75" x14ac:dyDescent="0.25">
      <c r="A111" s="5">
        <v>19</v>
      </c>
      <c r="B111" s="5" t="s">
        <v>36</v>
      </c>
      <c r="C111" s="13">
        <v>2018</v>
      </c>
      <c r="D111" s="1">
        <v>65929.19</v>
      </c>
      <c r="E111" s="1">
        <v>98930.19</v>
      </c>
      <c r="F111">
        <f t="shared" ref="F111" si="216">LOG(D111)</f>
        <v>4.8190777400741851</v>
      </c>
      <c r="G111">
        <f t="shared" ref="G111" si="217">LOG(E111)</f>
        <v>4.9953288431608254</v>
      </c>
      <c r="H111" s="6">
        <v>49.17</v>
      </c>
      <c r="I111" s="6">
        <v>86.83</v>
      </c>
      <c r="J111" s="6">
        <v>63.84</v>
      </c>
      <c r="K111" s="1">
        <v>4246.1000000000004</v>
      </c>
      <c r="L111" s="1">
        <v>70.56</v>
      </c>
      <c r="M111" s="1">
        <v>4162.3999999999996</v>
      </c>
      <c r="N111">
        <f>LOG(M111)</f>
        <v>3.6193438128879802</v>
      </c>
      <c r="O111">
        <v>120.69786000000001</v>
      </c>
      <c r="P111">
        <v>-8.5656800000000004</v>
      </c>
    </row>
    <row r="112" spans="1:16" ht="15.75" x14ac:dyDescent="0.25">
      <c r="A112" s="5">
        <v>19</v>
      </c>
      <c r="B112" s="5" t="s">
        <v>36</v>
      </c>
      <c r="C112" s="13">
        <v>2019</v>
      </c>
      <c r="D112" s="1">
        <v>69389.02</v>
      </c>
      <c r="E112" s="1">
        <v>106731.76</v>
      </c>
      <c r="F112">
        <f t="shared" ref="F112" si="218">LOG(D112)</f>
        <v>4.84129075387452</v>
      </c>
      <c r="G112">
        <f t="shared" ref="G112" si="219">LOG(E112)</f>
        <v>5.0282936709739774</v>
      </c>
      <c r="H112" s="6">
        <v>59.48</v>
      </c>
      <c r="I112" s="6">
        <v>88.18</v>
      </c>
      <c r="J112" s="6">
        <v>63.42</v>
      </c>
      <c r="K112" s="1">
        <v>3752.6</v>
      </c>
      <c r="L112" s="1">
        <v>71.150000000000006</v>
      </c>
      <c r="M112" s="1">
        <v>4216.3</v>
      </c>
      <c r="N112">
        <f>LOG(M112)</f>
        <v>3.6249315044125772</v>
      </c>
      <c r="O112">
        <v>120.69786000000001</v>
      </c>
      <c r="P112">
        <v>-8.5656800000000004</v>
      </c>
    </row>
    <row r="113" spans="1:16" ht="15.75" x14ac:dyDescent="0.25">
      <c r="A113" s="5">
        <v>19</v>
      </c>
      <c r="B113" s="5" t="s">
        <v>36</v>
      </c>
      <c r="C113" s="13">
        <v>2020</v>
      </c>
      <c r="D113" s="1">
        <v>68809.61</v>
      </c>
      <c r="E113" s="1">
        <v>106482.45</v>
      </c>
      <c r="F113">
        <f t="shared" ref="F113" si="220">LOG(D113)</f>
        <v>4.8376490963534708</v>
      </c>
      <c r="G113">
        <f t="shared" ref="G113" si="221">LOG(E113)</f>
        <v>5.0272780350402462</v>
      </c>
      <c r="H113" s="6">
        <v>59.19</v>
      </c>
      <c r="I113" s="6">
        <v>89.8</v>
      </c>
      <c r="J113" s="6">
        <v>58.47</v>
      </c>
      <c r="K113" s="1">
        <v>3028.5</v>
      </c>
      <c r="L113" s="1">
        <v>70.63</v>
      </c>
      <c r="M113" s="1">
        <v>4073.6</v>
      </c>
      <c r="N113">
        <f>LOG(M113)</f>
        <v>3.6099783819735616</v>
      </c>
      <c r="O113">
        <v>120.69786000000001</v>
      </c>
      <c r="P113">
        <v>-8.5656800000000004</v>
      </c>
    </row>
    <row r="114" spans="1:16" ht="15.75" x14ac:dyDescent="0.25">
      <c r="A114" s="5">
        <v>19</v>
      </c>
      <c r="B114" s="5" t="s">
        <v>36</v>
      </c>
      <c r="C114" s="13">
        <v>2021</v>
      </c>
      <c r="D114" s="1">
        <v>70540.66</v>
      </c>
      <c r="E114" s="1">
        <v>110881.46</v>
      </c>
      <c r="F114">
        <f t="shared" ref="F114" si="222">LOG(D114)</f>
        <v>4.8484395187425449</v>
      </c>
      <c r="G114">
        <f t="shared" ref="G114" si="223">LOG(E114)</f>
        <v>5.0448589357541049</v>
      </c>
      <c r="H114" s="6">
        <v>58.28</v>
      </c>
      <c r="I114" s="6">
        <v>90.51</v>
      </c>
      <c r="J114" s="6">
        <v>58.65</v>
      </c>
      <c r="K114" s="1">
        <v>3742.6</v>
      </c>
      <c r="L114" s="1">
        <v>71.19</v>
      </c>
      <c r="M114" s="1">
        <v>4122.6000000000004</v>
      </c>
      <c r="N114">
        <f>LOG(M114)</f>
        <v>3.6151711989245521</v>
      </c>
      <c r="O114">
        <v>120.69786000000001</v>
      </c>
      <c r="P114">
        <v>-8.5656800000000004</v>
      </c>
    </row>
    <row r="115" spans="1:16" ht="15.75" x14ac:dyDescent="0.25">
      <c r="A115" s="5">
        <v>19</v>
      </c>
      <c r="B115" s="5" t="s">
        <v>36</v>
      </c>
      <c r="C115" s="13">
        <v>2022</v>
      </c>
      <c r="D115" s="1">
        <v>72695.28</v>
      </c>
      <c r="E115" s="1">
        <v>118718.2</v>
      </c>
      <c r="F115">
        <f t="shared" ref="F115" si="224">LOG(D115)</f>
        <v>4.8615062136582026</v>
      </c>
      <c r="G115">
        <f t="shared" ref="G115" si="225">LOG(E115)</f>
        <v>5.0745173032315014</v>
      </c>
      <c r="H115" s="6">
        <v>52.62</v>
      </c>
      <c r="I115" s="6">
        <v>91.52</v>
      </c>
      <c r="J115" s="9">
        <v>58.74</v>
      </c>
      <c r="K115" s="1">
        <v>3459.3</v>
      </c>
      <c r="L115" s="1">
        <v>71.83</v>
      </c>
      <c r="M115" s="1">
        <v>4182.1000000000004</v>
      </c>
      <c r="N115">
        <f>LOG(M115)</f>
        <v>3.6213944132088067</v>
      </c>
      <c r="O115">
        <v>120.69786000000001</v>
      </c>
      <c r="P115">
        <v>-8.5656800000000004</v>
      </c>
    </row>
    <row r="116" spans="1:16" ht="15.75" x14ac:dyDescent="0.25">
      <c r="A116" s="5">
        <v>20</v>
      </c>
      <c r="B116" s="5" t="s">
        <v>37</v>
      </c>
      <c r="C116" s="13">
        <v>2017</v>
      </c>
      <c r="D116" s="1">
        <v>124289.17</v>
      </c>
      <c r="E116" s="1">
        <v>177493.65</v>
      </c>
      <c r="F116">
        <f t="shared" ref="F116" si="226">LOG(D116)</f>
        <v>5.0944332878198422</v>
      </c>
      <c r="G116">
        <f t="shared" ref="G116" si="227">LOG(E116)</f>
        <v>5.2491828203810265</v>
      </c>
      <c r="H116" s="6">
        <v>57.5</v>
      </c>
      <c r="I116" s="6">
        <v>89.12</v>
      </c>
      <c r="J116" s="6">
        <v>60.16</v>
      </c>
      <c r="K116" s="1">
        <v>853.3</v>
      </c>
      <c r="L116" s="1">
        <v>75.12</v>
      </c>
      <c r="M116" s="1">
        <v>4923.1000000000004</v>
      </c>
      <c r="N116">
        <f>LOG(M116)</f>
        <v>3.6922386574276631</v>
      </c>
      <c r="O116">
        <v>111.09689</v>
      </c>
      <c r="P116">
        <v>-0.13224</v>
      </c>
    </row>
    <row r="117" spans="1:16" ht="15.75" x14ac:dyDescent="0.25">
      <c r="A117" s="5">
        <v>20</v>
      </c>
      <c r="B117" s="5" t="s">
        <v>37</v>
      </c>
      <c r="C117" s="13">
        <v>2018</v>
      </c>
      <c r="D117" s="1">
        <v>130596.32</v>
      </c>
      <c r="E117" s="1">
        <v>194138.22</v>
      </c>
      <c r="F117">
        <f t="shared" ref="F117" si="228">LOG(D117)</f>
        <v>5.1159309393723582</v>
      </c>
      <c r="G117">
        <f t="shared" ref="G117" si="229">LOG(E117)</f>
        <v>5.2881110433795753</v>
      </c>
      <c r="H117" s="6">
        <v>51.33</v>
      </c>
      <c r="I117" s="6">
        <v>88.68</v>
      </c>
      <c r="J117" s="6">
        <v>64.19</v>
      </c>
      <c r="K117" s="1">
        <v>1356.8</v>
      </c>
      <c r="L117" s="1">
        <v>75.83</v>
      </c>
      <c r="M117" s="1">
        <v>3573.8</v>
      </c>
      <c r="N117">
        <f>LOG(M117)</f>
        <v>3.5531302444967743</v>
      </c>
      <c r="O117">
        <v>111.09689</v>
      </c>
      <c r="P117">
        <v>-0.13224</v>
      </c>
    </row>
    <row r="118" spans="1:16" ht="15.75" x14ac:dyDescent="0.25">
      <c r="A118" s="5">
        <v>20</v>
      </c>
      <c r="B118" s="5" t="s">
        <v>37</v>
      </c>
      <c r="C118" s="13">
        <v>2019</v>
      </c>
      <c r="D118" s="1">
        <v>137243.09</v>
      </c>
      <c r="E118" s="1">
        <v>212150.33</v>
      </c>
      <c r="F118">
        <f t="shared" ref="F118" si="230">LOG(D118)</f>
        <v>5.1374904875453273</v>
      </c>
      <c r="G118">
        <f t="shared" ref="G118" si="231">LOG(E118)</f>
        <v>5.3266437116485577</v>
      </c>
      <c r="H118" s="6">
        <v>50</v>
      </c>
      <c r="I118" s="6">
        <v>90.04</v>
      </c>
      <c r="J118" s="6">
        <v>59.76</v>
      </c>
      <c r="K118" s="1">
        <v>4400.8999999999996</v>
      </c>
      <c r="L118" s="1">
        <v>76.61</v>
      </c>
      <c r="M118" s="1">
        <v>3619.7</v>
      </c>
      <c r="N118">
        <f>LOG(M118)</f>
        <v>3.5586725777863264</v>
      </c>
      <c r="O118">
        <v>111.09689</v>
      </c>
      <c r="P118">
        <v>-0.13224</v>
      </c>
    </row>
    <row r="119" spans="1:16" ht="15.75" x14ac:dyDescent="0.25">
      <c r="A119" s="5">
        <v>20</v>
      </c>
      <c r="B119" s="5" t="s">
        <v>37</v>
      </c>
      <c r="C119" s="13">
        <v>2020</v>
      </c>
      <c r="D119" s="1">
        <v>134743.38</v>
      </c>
      <c r="E119" s="1">
        <v>213950.35</v>
      </c>
      <c r="F119">
        <f t="shared" ref="F119" si="232">LOG(D119)</f>
        <v>5.1295074373089076</v>
      </c>
      <c r="G119">
        <f t="shared" ref="G119" si="233">LOG(E119)</f>
        <v>5.3303130012800795</v>
      </c>
      <c r="H119" s="6">
        <v>51.67</v>
      </c>
      <c r="I119" s="6">
        <v>88.88</v>
      </c>
      <c r="J119" s="6">
        <v>59.49</v>
      </c>
      <c r="K119" s="1">
        <v>2235.1999999999998</v>
      </c>
      <c r="L119" s="1">
        <v>76.239999999999995</v>
      </c>
      <c r="M119" s="1">
        <v>3766</v>
      </c>
      <c r="N119">
        <f>LOG(M119)</f>
        <v>3.5758803156806458</v>
      </c>
      <c r="O119">
        <v>111.09689</v>
      </c>
      <c r="P119">
        <v>-0.13224</v>
      </c>
    </row>
    <row r="120" spans="1:16" ht="15.75" x14ac:dyDescent="0.25">
      <c r="A120" s="5">
        <v>20</v>
      </c>
      <c r="B120" s="5" t="s">
        <v>37</v>
      </c>
      <c r="C120" s="13">
        <v>2021</v>
      </c>
      <c r="D120" s="1">
        <v>141212.04</v>
      </c>
      <c r="E120" s="1">
        <v>231321.16</v>
      </c>
      <c r="F120">
        <f t="shared" ref="F120" si="234">LOG(D120)</f>
        <v>5.1498717270461158</v>
      </c>
      <c r="G120">
        <f t="shared" ref="G120" si="235">LOG(E120)</f>
        <v>5.3642153614818762</v>
      </c>
      <c r="H120" s="6">
        <v>54.35</v>
      </c>
      <c r="I120" s="6">
        <v>90.71</v>
      </c>
      <c r="J120" s="6">
        <v>59.81</v>
      </c>
      <c r="K120" s="1">
        <v>3792.5</v>
      </c>
      <c r="L120" s="1">
        <v>76.88</v>
      </c>
      <c r="M120" s="1">
        <v>3808.2</v>
      </c>
      <c r="N120">
        <f>LOG(M120)</f>
        <v>3.5807197486976001</v>
      </c>
      <c r="O120">
        <v>111.09689</v>
      </c>
      <c r="P120">
        <v>-0.13224</v>
      </c>
    </row>
    <row r="121" spans="1:16" ht="15.75" x14ac:dyDescent="0.25">
      <c r="A121" s="5">
        <v>20</v>
      </c>
      <c r="B121" s="5" t="s">
        <v>37</v>
      </c>
      <c r="C121" s="13">
        <v>2022</v>
      </c>
      <c r="D121" s="1">
        <v>148368.94</v>
      </c>
      <c r="E121" s="1">
        <v>255797.28</v>
      </c>
      <c r="F121">
        <f t="shared" ref="F121" si="236">LOG(D121)</f>
        <v>5.171342993945415</v>
      </c>
      <c r="G121">
        <f t="shared" ref="G121" si="237">LOG(E121)</f>
        <v>5.4078959221314102</v>
      </c>
      <c r="H121" s="6">
        <v>55.52</v>
      </c>
      <c r="I121" s="6">
        <v>90.9</v>
      </c>
      <c r="J121" s="9">
        <v>59.82</v>
      </c>
      <c r="K121" s="1">
        <v>7526.4</v>
      </c>
      <c r="L121" s="1">
        <v>77.44</v>
      </c>
      <c r="M121" s="1">
        <v>3859.8</v>
      </c>
      <c r="N121">
        <f>LOG(M121)</f>
        <v>3.5865648017840117</v>
      </c>
      <c r="O121">
        <v>111.09689</v>
      </c>
      <c r="P121">
        <v>-0.13224</v>
      </c>
    </row>
    <row r="122" spans="1:16" ht="15.75" x14ac:dyDescent="0.25">
      <c r="A122" s="5">
        <v>21</v>
      </c>
      <c r="B122" s="5" t="s">
        <v>38</v>
      </c>
      <c r="C122" s="13">
        <v>2017</v>
      </c>
      <c r="D122" s="1">
        <v>89544.9</v>
      </c>
      <c r="E122" s="1">
        <v>125817.07</v>
      </c>
      <c r="F122">
        <f t="shared" ref="F122" si="238">LOG(D122)</f>
        <v>4.9520408557916271</v>
      </c>
      <c r="G122">
        <f t="shared" ref="G122" si="239">LOG(E122)</f>
        <v>5.0997395672132502</v>
      </c>
      <c r="H122" s="6">
        <v>55.26</v>
      </c>
      <c r="I122" s="6">
        <v>92.25</v>
      </c>
      <c r="J122" s="6">
        <v>74.760000000000005</v>
      </c>
      <c r="K122" s="1">
        <v>10980.2</v>
      </c>
      <c r="L122" s="1">
        <v>69.650000000000006</v>
      </c>
      <c r="M122" s="1">
        <v>2574.8000000000002</v>
      </c>
      <c r="N122">
        <f>LOG(M122)</f>
        <v>3.4107435004569315</v>
      </c>
      <c r="O122">
        <v>113.29033</v>
      </c>
      <c r="P122">
        <v>-1.4995799999999999</v>
      </c>
    </row>
    <row r="123" spans="1:16" ht="15.75" x14ac:dyDescent="0.25">
      <c r="A123" s="5">
        <v>21</v>
      </c>
      <c r="B123" s="5" t="s">
        <v>38</v>
      </c>
      <c r="C123" s="13">
        <v>2018</v>
      </c>
      <c r="D123" s="1">
        <v>94566.25</v>
      </c>
      <c r="E123" s="1">
        <v>138616.13</v>
      </c>
      <c r="F123">
        <f t="shared" ref="F123" si="240">LOG(D123)</f>
        <v>4.9757361675432383</v>
      </c>
      <c r="G123">
        <f t="shared" ref="G123" si="241">LOG(E123)</f>
        <v>5.1418137696870483</v>
      </c>
      <c r="H123" s="6">
        <v>50.61</v>
      </c>
      <c r="I123" s="6">
        <v>87.07</v>
      </c>
      <c r="J123" s="6">
        <v>78.12</v>
      </c>
      <c r="K123" s="1">
        <v>25942</v>
      </c>
      <c r="L123" s="1">
        <v>70.17</v>
      </c>
      <c r="M123" s="1">
        <v>682.8</v>
      </c>
      <c r="N123">
        <f>LOG(M123)</f>
        <v>2.834293512442696</v>
      </c>
      <c r="O123">
        <v>113.29033</v>
      </c>
      <c r="P123">
        <v>-1.4995799999999999</v>
      </c>
    </row>
    <row r="124" spans="1:16" ht="15.75" x14ac:dyDescent="0.25">
      <c r="A124" s="5">
        <v>21</v>
      </c>
      <c r="B124" s="5" t="s">
        <v>38</v>
      </c>
      <c r="C124" s="13">
        <v>2019</v>
      </c>
      <c r="D124" s="1">
        <v>100349.29</v>
      </c>
      <c r="E124" s="1">
        <v>150046.1</v>
      </c>
      <c r="F124">
        <f t="shared" ref="F124" si="242">LOG(D124)</f>
        <v>5.0015143040763892</v>
      </c>
      <c r="G124">
        <f t="shared" ref="G124" si="243">LOG(E124)</f>
        <v>5.1762247117202769</v>
      </c>
      <c r="H124" s="6">
        <v>56.8</v>
      </c>
      <c r="I124" s="6">
        <v>88.82</v>
      </c>
      <c r="J124" s="6">
        <v>76.27</v>
      </c>
      <c r="K124" s="1">
        <v>21952</v>
      </c>
      <c r="L124" s="1">
        <v>70.72</v>
      </c>
      <c r="M124" s="1">
        <v>695.6</v>
      </c>
      <c r="N124">
        <f>LOG(M124)</f>
        <v>2.842359573330675</v>
      </c>
      <c r="O124">
        <v>113.29033</v>
      </c>
      <c r="P124">
        <v>-1.4995799999999999</v>
      </c>
    </row>
    <row r="125" spans="1:16" ht="15.75" x14ac:dyDescent="0.25">
      <c r="A125" s="5">
        <v>21</v>
      </c>
      <c r="B125" s="5" t="s">
        <v>38</v>
      </c>
      <c r="C125" s="13">
        <v>2020</v>
      </c>
      <c r="D125" s="1">
        <v>98933.61</v>
      </c>
      <c r="E125" s="1">
        <v>152187.39000000001</v>
      </c>
      <c r="F125">
        <f t="shared" ref="F125" si="244">LOG(D125)</f>
        <v>4.9953438563883914</v>
      </c>
      <c r="G125">
        <f t="shared" ref="G125" si="245">LOG(E125)</f>
        <v>5.1823786689897737</v>
      </c>
      <c r="H125" s="6">
        <v>53.61</v>
      </c>
      <c r="I125" s="6">
        <v>89.84</v>
      </c>
      <c r="J125" s="6">
        <v>75.11</v>
      </c>
      <c r="K125" s="1">
        <v>25934</v>
      </c>
      <c r="L125" s="1">
        <v>70.91</v>
      </c>
      <c r="M125" s="1">
        <v>701.8</v>
      </c>
      <c r="N125">
        <f>LOG(M125)</f>
        <v>2.8462133638793872</v>
      </c>
      <c r="O125">
        <v>113.29033</v>
      </c>
      <c r="P125">
        <v>-1.4995799999999999</v>
      </c>
    </row>
    <row r="126" spans="1:16" ht="15.75" x14ac:dyDescent="0.25">
      <c r="A126" s="5">
        <v>21</v>
      </c>
      <c r="B126" s="5" t="s">
        <v>38</v>
      </c>
      <c r="C126" s="13">
        <v>2021</v>
      </c>
      <c r="D126" s="1">
        <v>102481.47</v>
      </c>
      <c r="E126" s="1">
        <v>169654.31</v>
      </c>
      <c r="F126">
        <f t="shared" ref="F126" si="246">LOG(D126)</f>
        <v>5.0106453463259122</v>
      </c>
      <c r="G126">
        <f t="shared" ref="G126" si="247">LOG(E126)</f>
        <v>5.2295648971991771</v>
      </c>
      <c r="H126" s="6">
        <v>55.34</v>
      </c>
      <c r="I126" s="6">
        <v>90.39</v>
      </c>
      <c r="J126" s="6">
        <v>75.58</v>
      </c>
      <c r="K126" s="1">
        <v>30297.4</v>
      </c>
      <c r="L126" s="1">
        <v>71.28</v>
      </c>
      <c r="M126" s="1">
        <v>713.6</v>
      </c>
      <c r="N126">
        <f>LOG(M126)</f>
        <v>2.8534548413680665</v>
      </c>
      <c r="O126">
        <v>113.29033</v>
      </c>
      <c r="P126">
        <v>-1.4995799999999999</v>
      </c>
    </row>
    <row r="127" spans="1:16" ht="15.75" x14ac:dyDescent="0.25">
      <c r="A127" s="5">
        <v>21</v>
      </c>
      <c r="B127" s="5" t="s">
        <v>38</v>
      </c>
      <c r="C127" s="13">
        <v>2022</v>
      </c>
      <c r="D127" s="1">
        <v>109094.72</v>
      </c>
      <c r="E127" s="1">
        <v>199947.9</v>
      </c>
      <c r="F127">
        <f t="shared" ref="F127" si="248">LOG(D127)</f>
        <v>5.0378037319783138</v>
      </c>
      <c r="G127">
        <f t="shared" ref="G127" si="249">LOG(E127)</f>
        <v>5.3009168472132195</v>
      </c>
      <c r="H127" s="6">
        <v>56.69</v>
      </c>
      <c r="I127" s="6">
        <v>91.25</v>
      </c>
      <c r="J127" s="9">
        <v>75.56</v>
      </c>
      <c r="K127" s="1">
        <v>39595.599999999999</v>
      </c>
      <c r="L127" s="1">
        <v>71.84</v>
      </c>
      <c r="M127" s="1">
        <v>727.8</v>
      </c>
      <c r="N127">
        <f>LOG(M127)</f>
        <v>2.8620120512502165</v>
      </c>
      <c r="O127">
        <v>113.29033</v>
      </c>
      <c r="P127">
        <v>-1.4995799999999999</v>
      </c>
    </row>
    <row r="128" spans="1:16" ht="15.75" x14ac:dyDescent="0.25">
      <c r="A128" s="5">
        <v>22</v>
      </c>
      <c r="B128" s="5" t="s">
        <v>39</v>
      </c>
      <c r="C128" s="13">
        <v>2017</v>
      </c>
      <c r="D128" s="1">
        <v>121858.52</v>
      </c>
      <c r="E128" s="1">
        <v>159104.54999999999</v>
      </c>
      <c r="F128">
        <f t="shared" ref="F128" si="250">LOG(D128)</f>
        <v>5.0858558992132297</v>
      </c>
      <c r="G128">
        <f t="shared" ref="G128" si="251">LOG(E128)</f>
        <v>5.2016825995814493</v>
      </c>
      <c r="H128" s="6">
        <v>52.25</v>
      </c>
      <c r="I128" s="6">
        <v>89.02</v>
      </c>
      <c r="J128" s="6">
        <v>88.54</v>
      </c>
      <c r="K128" s="1">
        <v>2981.9</v>
      </c>
      <c r="L128" s="1">
        <v>69.790000000000006</v>
      </c>
      <c r="M128" s="1">
        <v>4106.8</v>
      </c>
      <c r="N128">
        <f>LOG(M128)</f>
        <v>3.613503553350037</v>
      </c>
      <c r="O128">
        <v>115.37564999999999</v>
      </c>
      <c r="P128">
        <v>-2.9434800000000001</v>
      </c>
    </row>
    <row r="129" spans="1:16" ht="15.75" x14ac:dyDescent="0.25">
      <c r="A129" s="5">
        <v>22</v>
      </c>
      <c r="B129" s="5" t="s">
        <v>39</v>
      </c>
      <c r="C129" s="13">
        <v>2018</v>
      </c>
      <c r="D129" s="1">
        <v>128052.58</v>
      </c>
      <c r="E129" s="1">
        <v>171684.06</v>
      </c>
      <c r="F129">
        <f t="shared" ref="F129" si="252">LOG(D129)</f>
        <v>5.1073883330463508</v>
      </c>
      <c r="G129">
        <f t="shared" ref="G129" si="253">LOG(E129)</f>
        <v>5.2347299749780491</v>
      </c>
      <c r="H129" s="6">
        <v>51.43</v>
      </c>
      <c r="I129" s="6">
        <v>87.75</v>
      </c>
      <c r="J129" s="6">
        <v>87.59</v>
      </c>
      <c r="K129" s="1">
        <v>9975.2000000000007</v>
      </c>
      <c r="L129" s="1">
        <v>70.42</v>
      </c>
      <c r="M129" s="1">
        <v>2474.4</v>
      </c>
      <c r="N129">
        <f>LOG(M129)</f>
        <v>3.3934699069951226</v>
      </c>
      <c r="O129">
        <v>115.37564999999999</v>
      </c>
      <c r="P129">
        <v>-2.9434800000000001</v>
      </c>
    </row>
    <row r="130" spans="1:16" ht="15.75" x14ac:dyDescent="0.25">
      <c r="A130" s="5">
        <v>22</v>
      </c>
      <c r="B130" s="5" t="s">
        <v>39</v>
      </c>
      <c r="C130" s="13">
        <v>2019</v>
      </c>
      <c r="D130" s="1">
        <v>133283.85</v>
      </c>
      <c r="E130" s="1">
        <v>180557.64</v>
      </c>
      <c r="F130">
        <f t="shared" ref="F130" si="254">LOG(D130)</f>
        <v>5.1247775291527944</v>
      </c>
      <c r="G130">
        <f t="shared" ref="G130" si="255">LOG(E130)</f>
        <v>5.2566158696093845</v>
      </c>
      <c r="H130" s="6">
        <v>55.31</v>
      </c>
      <c r="I130" s="6">
        <v>88.78</v>
      </c>
      <c r="J130" s="6">
        <v>87.94</v>
      </c>
      <c r="K130" s="1">
        <v>10061</v>
      </c>
      <c r="L130" s="1">
        <v>70.91</v>
      </c>
      <c r="M130" s="1">
        <v>2494.1</v>
      </c>
      <c r="N130">
        <f>LOG(M130)</f>
        <v>3.3969138623652726</v>
      </c>
      <c r="O130">
        <v>115.37564999999999</v>
      </c>
      <c r="P130">
        <v>-2.9434800000000001</v>
      </c>
    </row>
    <row r="131" spans="1:16" ht="15.75" x14ac:dyDescent="0.25">
      <c r="A131" s="5">
        <v>22</v>
      </c>
      <c r="B131" s="5" t="s">
        <v>39</v>
      </c>
      <c r="C131" s="13">
        <v>2020</v>
      </c>
      <c r="D131" s="1">
        <v>130864.32000000001</v>
      </c>
      <c r="E131" s="1">
        <v>179162.02</v>
      </c>
      <c r="F131">
        <f t="shared" ref="F131" si="256">LOG(D131)</f>
        <v>5.1168212528200119</v>
      </c>
      <c r="G131">
        <f t="shared" ref="G131" si="257">LOG(E131)</f>
        <v>5.2532459503450317</v>
      </c>
      <c r="H131" s="6">
        <v>51.67</v>
      </c>
      <c r="I131" s="6">
        <v>88.93</v>
      </c>
      <c r="J131" s="6">
        <v>80.849999999999994</v>
      </c>
      <c r="K131" s="1">
        <v>4286.3</v>
      </c>
      <c r="L131" s="1">
        <v>71.05</v>
      </c>
      <c r="M131" s="1">
        <v>2621.9</v>
      </c>
      <c r="N131">
        <f>LOG(M131)</f>
        <v>3.4186161235568169</v>
      </c>
      <c r="O131">
        <v>115.37564999999999</v>
      </c>
      <c r="P131">
        <v>-2.9434800000000001</v>
      </c>
    </row>
    <row r="132" spans="1:16" ht="15.75" x14ac:dyDescent="0.25">
      <c r="A132" s="5">
        <v>22</v>
      </c>
      <c r="B132" s="5" t="s">
        <v>39</v>
      </c>
      <c r="C132" s="13">
        <v>2021</v>
      </c>
      <c r="D132" s="1">
        <v>135422.59</v>
      </c>
      <c r="E132" s="1">
        <v>197879</v>
      </c>
      <c r="F132">
        <f t="shared" ref="F132" si="258">LOG(D132)</f>
        <v>5.1316911155605913</v>
      </c>
      <c r="G132">
        <f t="shared" ref="G132" si="259">LOG(E132)</f>
        <v>5.2963997069499804</v>
      </c>
      <c r="H132" s="6">
        <v>54.75</v>
      </c>
      <c r="I132" s="6">
        <v>89.15</v>
      </c>
      <c r="J132" s="6">
        <v>82.37</v>
      </c>
      <c r="K132" s="1">
        <v>11003.9</v>
      </c>
      <c r="L132" s="1">
        <v>71.25</v>
      </c>
      <c r="M132" s="1">
        <v>2638.6</v>
      </c>
      <c r="N132">
        <f>LOG(M132)</f>
        <v>3.4213735581020059</v>
      </c>
      <c r="O132">
        <v>115.37564999999999</v>
      </c>
      <c r="P132">
        <v>-2.9434800000000001</v>
      </c>
    </row>
    <row r="133" spans="1:16" ht="15.75" x14ac:dyDescent="0.25">
      <c r="A133" s="5">
        <v>22</v>
      </c>
      <c r="B133" s="5" t="s">
        <v>39</v>
      </c>
      <c r="C133" s="13">
        <v>2022</v>
      </c>
      <c r="D133" s="1">
        <v>142339.28</v>
      </c>
      <c r="E133" s="1">
        <v>251256.54</v>
      </c>
      <c r="F133">
        <f t="shared" ref="F133" si="260">LOG(D133)</f>
        <v>5.1533247646887581</v>
      </c>
      <c r="G133">
        <f t="shared" ref="G133" si="261">LOG(E133)</f>
        <v>5.4001173749019626</v>
      </c>
      <c r="H133" s="6">
        <v>54.63</v>
      </c>
      <c r="I133" s="6">
        <v>89.52</v>
      </c>
      <c r="J133" s="9">
        <v>82.33</v>
      </c>
      <c r="K133" s="1">
        <v>12310.4</v>
      </c>
      <c r="L133" s="1">
        <v>71.63</v>
      </c>
      <c r="M133" s="1">
        <v>2659.5</v>
      </c>
      <c r="N133">
        <f>LOG(M133)</f>
        <v>3.424799994656599</v>
      </c>
      <c r="O133">
        <v>115.37564999999999</v>
      </c>
      <c r="P133">
        <v>-2.9434800000000001</v>
      </c>
    </row>
    <row r="134" spans="1:16" ht="15.75" x14ac:dyDescent="0.25">
      <c r="A134" s="5">
        <v>23</v>
      </c>
      <c r="B134" s="5" t="s">
        <v>40</v>
      </c>
      <c r="C134" s="13">
        <v>2017</v>
      </c>
      <c r="D134" s="1">
        <v>452741.91</v>
      </c>
      <c r="E134" s="1">
        <v>591903.49</v>
      </c>
      <c r="F134">
        <f t="shared" ref="F134" si="262">LOG(D134)</f>
        <v>5.6558506986906814</v>
      </c>
      <c r="G134">
        <f t="shared" ref="G134" si="263">LOG(E134)</f>
        <v>5.7722509006802056</v>
      </c>
      <c r="H134" s="6">
        <v>57.69</v>
      </c>
      <c r="I134" s="6">
        <v>88.87</v>
      </c>
      <c r="J134" s="6">
        <v>49.21</v>
      </c>
      <c r="K134" s="1">
        <v>3037.8</v>
      </c>
      <c r="L134" s="1">
        <v>66.260000000000005</v>
      </c>
      <c r="M134" s="1">
        <v>3527.1</v>
      </c>
      <c r="N134">
        <f>LOG(M134)</f>
        <v>3.5474177729174277</v>
      </c>
      <c r="O134">
        <v>116.242</v>
      </c>
      <c r="P134">
        <v>0.78844000000000003</v>
      </c>
    </row>
    <row r="135" spans="1:16" ht="15.75" x14ac:dyDescent="0.25">
      <c r="A135" s="5">
        <v>23</v>
      </c>
      <c r="B135" s="5" t="s">
        <v>40</v>
      </c>
      <c r="C135" s="13">
        <v>2018</v>
      </c>
      <c r="D135" s="1">
        <v>464694.43</v>
      </c>
      <c r="E135" s="1">
        <v>635498.68000000005</v>
      </c>
      <c r="F135">
        <f t="shared" ref="F135" si="264">LOG(D135)</f>
        <v>5.6671674668951333</v>
      </c>
      <c r="G135">
        <f t="shared" ref="G135" si="265">LOG(E135)</f>
        <v>5.8031146528140054</v>
      </c>
      <c r="H135" s="6">
        <v>57.73</v>
      </c>
      <c r="I135" s="6">
        <v>83.36</v>
      </c>
      <c r="J135" s="6">
        <v>49.29</v>
      </c>
      <c r="K135" s="1">
        <v>13091.6</v>
      </c>
      <c r="L135" s="1">
        <v>66.98</v>
      </c>
      <c r="M135" s="1">
        <v>1166.0999999999999</v>
      </c>
      <c r="N135">
        <f>LOG(M135)</f>
        <v>3.0667357953509287</v>
      </c>
      <c r="O135">
        <v>116.242</v>
      </c>
      <c r="P135">
        <v>0.78844000000000003</v>
      </c>
    </row>
    <row r="136" spans="1:16" ht="15.75" x14ac:dyDescent="0.25">
      <c r="A136" s="5">
        <v>23</v>
      </c>
      <c r="B136" s="5" t="s">
        <v>40</v>
      </c>
      <c r="C136" s="13">
        <v>2019</v>
      </c>
      <c r="D136" s="1">
        <v>486523.18</v>
      </c>
      <c r="E136" s="1">
        <v>652480.26</v>
      </c>
      <c r="F136">
        <f t="shared" ref="F136" si="266">LOG(D136)</f>
        <v>5.6871035367035914</v>
      </c>
      <c r="G136">
        <f t="shared" ref="G136" si="267">LOG(E136)</f>
        <v>5.8145673771555231</v>
      </c>
      <c r="H136" s="6">
        <v>62.01</v>
      </c>
      <c r="I136" s="6">
        <v>90.02</v>
      </c>
      <c r="J136" s="6">
        <v>46.78</v>
      </c>
      <c r="K136" s="1">
        <v>8591.9</v>
      </c>
      <c r="L136" s="1">
        <v>67.650000000000006</v>
      </c>
      <c r="M136" s="1">
        <v>1176.4000000000001</v>
      </c>
      <c r="N136">
        <f>LOG(M136)</f>
        <v>3.0705550158350317</v>
      </c>
      <c r="O136">
        <v>116.242</v>
      </c>
      <c r="P136">
        <v>0.78844000000000003</v>
      </c>
    </row>
    <row r="137" spans="1:16" ht="15.75" x14ac:dyDescent="0.25">
      <c r="A137" s="5">
        <v>23</v>
      </c>
      <c r="B137" s="5" t="s">
        <v>40</v>
      </c>
      <c r="C137" s="13">
        <v>2020</v>
      </c>
      <c r="D137" s="1">
        <v>472393.33</v>
      </c>
      <c r="E137" s="1">
        <v>607744.49</v>
      </c>
      <c r="F137">
        <f t="shared" ref="F137" si="268">LOG(D137)</f>
        <v>5.6743037569248713</v>
      </c>
      <c r="G137">
        <f t="shared" ref="G137" si="269">LOG(E137)</f>
        <v>5.7837210300847799</v>
      </c>
      <c r="H137" s="6">
        <v>60</v>
      </c>
      <c r="I137" s="6">
        <v>89.02</v>
      </c>
      <c r="J137" s="6">
        <v>50.13</v>
      </c>
      <c r="K137" s="1">
        <v>3710</v>
      </c>
      <c r="L137" s="1">
        <v>67.66</v>
      </c>
      <c r="M137" s="1">
        <v>1171.7</v>
      </c>
      <c r="N137">
        <f>LOG(M137)</f>
        <v>3.06881642992222</v>
      </c>
      <c r="O137">
        <v>116.242</v>
      </c>
      <c r="P137">
        <v>0.78844000000000003</v>
      </c>
    </row>
    <row r="138" spans="1:16" ht="15.75" x14ac:dyDescent="0.25">
      <c r="A138" s="5">
        <v>23</v>
      </c>
      <c r="B138" s="5" t="s">
        <v>40</v>
      </c>
      <c r="C138" s="13">
        <v>2021</v>
      </c>
      <c r="D138" s="1">
        <v>484438.88</v>
      </c>
      <c r="E138" s="1">
        <v>696584.5</v>
      </c>
      <c r="F138">
        <f t="shared" ref="F138" si="270">LOG(D138)</f>
        <v>5.6852389913905998</v>
      </c>
      <c r="G138">
        <f t="shared" ref="G138" si="271">LOG(E138)</f>
        <v>5.8429738065572412</v>
      </c>
      <c r="H138" s="6">
        <v>51.92</v>
      </c>
      <c r="I138" s="6">
        <v>88.84</v>
      </c>
      <c r="J138" s="6">
        <v>50.48</v>
      </c>
      <c r="K138" s="1">
        <v>6359.8</v>
      </c>
      <c r="L138" s="1">
        <v>67.900000000000006</v>
      </c>
      <c r="M138" s="1">
        <v>1181</v>
      </c>
      <c r="N138">
        <f>LOG(M138)</f>
        <v>3.0722498976135149</v>
      </c>
      <c r="O138">
        <v>116.242</v>
      </c>
      <c r="P138">
        <v>0.78844000000000003</v>
      </c>
    </row>
    <row r="139" spans="1:16" ht="15.75" x14ac:dyDescent="0.25">
      <c r="A139" s="5">
        <v>23</v>
      </c>
      <c r="B139" s="5" t="s">
        <v>40</v>
      </c>
      <c r="C139" s="13">
        <v>2022</v>
      </c>
      <c r="D139" s="1">
        <v>506158.91</v>
      </c>
      <c r="E139" s="1">
        <v>921332.98</v>
      </c>
      <c r="F139">
        <f t="shared" ref="F139" si="272">LOG(D139)</f>
        <v>5.7042868862102694</v>
      </c>
      <c r="G139">
        <f t="shared" ref="G139" si="273">LOG(E139)</f>
        <v>5.9644166174295901</v>
      </c>
      <c r="H139" s="6">
        <v>53.02</v>
      </c>
      <c r="I139" s="6">
        <v>87.59</v>
      </c>
      <c r="J139" s="9">
        <v>50.82</v>
      </c>
      <c r="K139" s="1">
        <v>6556.8</v>
      </c>
      <c r="L139" s="1">
        <v>68.63</v>
      </c>
      <c r="M139" s="1">
        <v>1192.7</v>
      </c>
      <c r="N139">
        <f>LOG(M139)</f>
        <v>3.0765312192538121</v>
      </c>
      <c r="O139">
        <v>116.242</v>
      </c>
      <c r="P139">
        <v>0.78844000000000003</v>
      </c>
    </row>
    <row r="140" spans="1:16" ht="15.75" x14ac:dyDescent="0.25">
      <c r="A140" s="5">
        <v>24</v>
      </c>
      <c r="B140" s="5" t="s">
        <v>41</v>
      </c>
      <c r="C140" s="13">
        <v>2017</v>
      </c>
      <c r="D140" s="1">
        <v>54537.31</v>
      </c>
      <c r="E140" s="1">
        <v>76927.570000000007</v>
      </c>
      <c r="F140">
        <f t="shared" ref="F140" si="274">LOG(D140)</f>
        <v>4.7366937129791475</v>
      </c>
      <c r="G140">
        <f t="shared" ref="G140" si="275">LOG(E140)</f>
        <v>4.8860820140930326</v>
      </c>
      <c r="H140" s="6">
        <v>51</v>
      </c>
      <c r="I140" s="6">
        <v>95.83</v>
      </c>
      <c r="J140" s="6">
        <v>88.54</v>
      </c>
      <c r="K140" s="1">
        <v>12380.9</v>
      </c>
      <c r="L140" s="1">
        <v>63.73</v>
      </c>
      <c r="M140" s="1">
        <v>670</v>
      </c>
      <c r="N140">
        <f>LOG(M140)</f>
        <v>2.8260748027008264</v>
      </c>
      <c r="O140">
        <v>116.911</v>
      </c>
      <c r="P140">
        <v>2.72594</v>
      </c>
    </row>
    <row r="141" spans="1:16" ht="15.75" x14ac:dyDescent="0.25">
      <c r="A141" s="5">
        <v>24</v>
      </c>
      <c r="B141" s="5" t="s">
        <v>41</v>
      </c>
      <c r="C141" s="13">
        <v>2018</v>
      </c>
      <c r="D141" s="1">
        <v>57459.31</v>
      </c>
      <c r="E141" s="1">
        <v>85548.94</v>
      </c>
      <c r="F141">
        <f t="shared" ref="F141" si="276">LOG(D141)</f>
        <v>4.7593604064628945</v>
      </c>
      <c r="G141">
        <f t="shared" ref="G141" si="277">LOG(E141)</f>
        <v>4.9322146327549357</v>
      </c>
      <c r="H141" s="6">
        <v>50.91</v>
      </c>
      <c r="I141" s="6">
        <v>90.95</v>
      </c>
      <c r="J141" s="6">
        <v>87.59</v>
      </c>
      <c r="K141" s="1">
        <v>6591.4</v>
      </c>
      <c r="L141" s="1">
        <v>64.39</v>
      </c>
      <c r="M141" s="1">
        <v>3001.9</v>
      </c>
      <c r="N141">
        <f>LOG(M141)</f>
        <v>3.4773962208281217</v>
      </c>
      <c r="O141">
        <v>116.911</v>
      </c>
      <c r="P141">
        <v>2.72594</v>
      </c>
    </row>
    <row r="142" spans="1:16" ht="15.75" x14ac:dyDescent="0.25">
      <c r="A142" s="5">
        <v>24</v>
      </c>
      <c r="B142" s="5" t="s">
        <v>41</v>
      </c>
      <c r="C142" s="13">
        <v>2019</v>
      </c>
      <c r="D142" s="1">
        <v>61417.79</v>
      </c>
      <c r="E142" s="1">
        <v>96509.93</v>
      </c>
      <c r="F142">
        <f t="shared" ref="F142:F205" si="278">LOG(D142)</f>
        <v>4.7882941851439611</v>
      </c>
      <c r="G142">
        <f t="shared" ref="G142:G205" si="279">LOG(E142)</f>
        <v>4.9845720006218937</v>
      </c>
      <c r="H142" s="6">
        <v>52.22</v>
      </c>
      <c r="I142" s="6">
        <v>93.79</v>
      </c>
      <c r="J142" s="6">
        <v>87.94</v>
      </c>
      <c r="K142" s="1">
        <v>7699.1</v>
      </c>
      <c r="L142" s="1">
        <v>65.23</v>
      </c>
      <c r="M142" s="1">
        <v>3042.1</v>
      </c>
      <c r="N142">
        <f>LOG(M142)</f>
        <v>3.4831734860925141</v>
      </c>
      <c r="O142">
        <v>116.911</v>
      </c>
      <c r="P142">
        <v>2.72594</v>
      </c>
    </row>
    <row r="143" spans="1:16" ht="15.75" x14ac:dyDescent="0.25">
      <c r="A143" s="5">
        <v>24</v>
      </c>
      <c r="B143" s="5" t="s">
        <v>41</v>
      </c>
      <c r="C143" s="13">
        <v>2020</v>
      </c>
      <c r="D143" s="1">
        <v>60746.21</v>
      </c>
      <c r="E143" s="1">
        <v>100423.21</v>
      </c>
      <c r="F143">
        <f t="shared" si="278"/>
        <v>4.7835191871685856</v>
      </c>
      <c r="G143">
        <f t="shared" si="279"/>
        <v>5.0018340993626254</v>
      </c>
      <c r="H143" s="6">
        <v>51.82</v>
      </c>
      <c r="I143" s="6">
        <v>94.23</v>
      </c>
      <c r="J143" s="6">
        <v>99.84</v>
      </c>
      <c r="K143" s="1">
        <v>9256.5</v>
      </c>
      <c r="L143" s="1">
        <v>65.19</v>
      </c>
      <c r="M143" s="1">
        <v>2985.7</v>
      </c>
      <c r="N143">
        <f>LOG(M143)</f>
        <v>3.4750461681277978</v>
      </c>
      <c r="O143">
        <v>116.911</v>
      </c>
      <c r="P143">
        <v>2.72594</v>
      </c>
    </row>
    <row r="144" spans="1:16" ht="15.75" x14ac:dyDescent="0.25">
      <c r="A144" s="5">
        <v>24</v>
      </c>
      <c r="B144" s="5" t="s">
        <v>41</v>
      </c>
      <c r="C144" s="13">
        <v>2021</v>
      </c>
      <c r="D144" s="1">
        <v>63162.97</v>
      </c>
      <c r="E144" s="1">
        <v>110668.94</v>
      </c>
      <c r="F144">
        <f t="shared" si="278"/>
        <v>4.8004625428733929</v>
      </c>
      <c r="G144">
        <f t="shared" si="279"/>
        <v>5.0440257502432448</v>
      </c>
      <c r="H144" s="6">
        <v>57.34</v>
      </c>
      <c r="I144" s="6">
        <v>93.43</v>
      </c>
      <c r="J144" s="6">
        <v>100</v>
      </c>
      <c r="K144" s="1">
        <v>10773.4</v>
      </c>
      <c r="L144" s="1">
        <v>65.28</v>
      </c>
      <c r="M144" s="1">
        <v>3021.9</v>
      </c>
      <c r="N144">
        <f>LOG(M144)</f>
        <v>3.4802800886705243</v>
      </c>
      <c r="O144">
        <v>116.911</v>
      </c>
      <c r="P144">
        <v>2.72594</v>
      </c>
    </row>
    <row r="145" spans="1:16" ht="15.75" x14ac:dyDescent="0.25">
      <c r="A145" s="5">
        <v>24</v>
      </c>
      <c r="B145" s="5" t="s">
        <v>41</v>
      </c>
      <c r="C145" s="13">
        <v>2022</v>
      </c>
      <c r="D145" s="1">
        <v>66534.39</v>
      </c>
      <c r="E145" s="1">
        <v>138718.18</v>
      </c>
      <c r="F145">
        <f t="shared" si="278"/>
        <v>4.8230461795391824</v>
      </c>
      <c r="G145">
        <f t="shared" si="279"/>
        <v>5.142133382171191</v>
      </c>
      <c r="H145" s="6">
        <v>54.46</v>
      </c>
      <c r="I145" s="6">
        <v>94.52</v>
      </c>
      <c r="J145" s="9">
        <v>100</v>
      </c>
      <c r="K145" s="1">
        <v>9382.9</v>
      </c>
      <c r="L145" s="1">
        <v>65.900000000000006</v>
      </c>
      <c r="M145" s="1">
        <v>3066.1</v>
      </c>
      <c r="N145">
        <f>LOG(M145)</f>
        <v>3.4865863151432626</v>
      </c>
      <c r="O145">
        <v>116.911</v>
      </c>
      <c r="P145">
        <v>2.72594</v>
      </c>
    </row>
    <row r="146" spans="1:16" ht="15.75" x14ac:dyDescent="0.25">
      <c r="A146" s="5">
        <v>25</v>
      </c>
      <c r="B146" s="5" t="s">
        <v>42</v>
      </c>
      <c r="C146" s="13">
        <v>2017</v>
      </c>
      <c r="D146" s="1">
        <v>79484.03</v>
      </c>
      <c r="E146" s="1">
        <v>110116.73</v>
      </c>
      <c r="F146">
        <f t="shared" si="278"/>
        <v>4.9002798785987212</v>
      </c>
      <c r="G146">
        <f t="shared" si="279"/>
        <v>5.0418533062080186</v>
      </c>
      <c r="H146" s="6">
        <v>54.62</v>
      </c>
      <c r="I146" s="6">
        <v>94.32</v>
      </c>
      <c r="J146" s="6">
        <v>59.96</v>
      </c>
      <c r="K146" s="1">
        <v>1929.7</v>
      </c>
      <c r="L146" s="1">
        <v>71.66</v>
      </c>
      <c r="M146" s="1">
        <v>2453.6999999999998</v>
      </c>
      <c r="N146">
        <f>LOG(M146)</f>
        <v>3.3898214629105228</v>
      </c>
      <c r="O146">
        <v>124.09014999999999</v>
      </c>
      <c r="P146">
        <v>0.65556999999999999</v>
      </c>
    </row>
    <row r="147" spans="1:16" ht="15.75" x14ac:dyDescent="0.25">
      <c r="A147" s="5">
        <v>25</v>
      </c>
      <c r="B147" s="5" t="s">
        <v>42</v>
      </c>
      <c r="C147" s="13">
        <v>2018</v>
      </c>
      <c r="D147" s="1">
        <v>84249.72</v>
      </c>
      <c r="E147" s="1">
        <v>119512.68</v>
      </c>
      <c r="F147">
        <f t="shared" si="278"/>
        <v>4.9255684661883974</v>
      </c>
      <c r="G147">
        <f t="shared" si="279"/>
        <v>5.0774139852999589</v>
      </c>
      <c r="H147" s="6">
        <v>54.1</v>
      </c>
      <c r="I147" s="6">
        <v>91.07</v>
      </c>
      <c r="J147" s="6">
        <v>60.19</v>
      </c>
      <c r="K147" s="1">
        <v>8488.9</v>
      </c>
      <c r="L147" s="1">
        <v>72.2</v>
      </c>
      <c r="M147" s="1">
        <v>8748.1</v>
      </c>
      <c r="N147">
        <f>LOG(M147)</f>
        <v>3.9419137388374752</v>
      </c>
      <c r="O147">
        <v>124.09014999999999</v>
      </c>
      <c r="P147">
        <v>0.65556999999999999</v>
      </c>
    </row>
    <row r="148" spans="1:16" ht="15.75" x14ac:dyDescent="0.25">
      <c r="A148" s="5">
        <v>25</v>
      </c>
      <c r="B148" s="5" t="s">
        <v>42</v>
      </c>
      <c r="C148" s="13">
        <v>2019</v>
      </c>
      <c r="D148" s="1">
        <v>89009.26</v>
      </c>
      <c r="E148" s="1">
        <v>130126.51</v>
      </c>
      <c r="F148">
        <f t="shared" si="278"/>
        <v>4.9494351904393517</v>
      </c>
      <c r="G148">
        <f t="shared" si="279"/>
        <v>5.1143657821409771</v>
      </c>
      <c r="H148" s="6">
        <v>45.48</v>
      </c>
      <c r="I148" s="6">
        <v>92.41</v>
      </c>
      <c r="J148" s="6">
        <v>59.45</v>
      </c>
      <c r="K148" s="1">
        <v>4438.8</v>
      </c>
      <c r="L148" s="1">
        <v>72.989999999999995</v>
      </c>
      <c r="M148" s="1">
        <v>8819.5</v>
      </c>
      <c r="N148">
        <f>LOG(M148)</f>
        <v>3.9454439645653627</v>
      </c>
      <c r="O148">
        <v>124.09014999999999</v>
      </c>
      <c r="P148">
        <v>0.65556999999999999</v>
      </c>
    </row>
    <row r="149" spans="1:16" ht="15.75" x14ac:dyDescent="0.25">
      <c r="A149" s="5">
        <v>25</v>
      </c>
      <c r="B149" s="5" t="s">
        <v>42</v>
      </c>
      <c r="C149" s="13">
        <v>2020</v>
      </c>
      <c r="D149" s="1">
        <v>88126.37</v>
      </c>
      <c r="E149" s="1">
        <v>132230.06</v>
      </c>
      <c r="F149">
        <f t="shared" si="278"/>
        <v>4.9451058815321121</v>
      </c>
      <c r="G149">
        <f t="shared" si="279"/>
        <v>5.1213301949992607</v>
      </c>
      <c r="H149" s="6">
        <v>50.53</v>
      </c>
      <c r="I149" s="6">
        <v>90.53</v>
      </c>
      <c r="J149" s="6">
        <v>59.56</v>
      </c>
      <c r="K149" s="1">
        <v>5261.3</v>
      </c>
      <c r="L149" s="1">
        <v>72.930000000000007</v>
      </c>
      <c r="M149" s="1">
        <v>9073.5</v>
      </c>
      <c r="N149">
        <f>LOG(M149)</f>
        <v>3.957774843563032</v>
      </c>
      <c r="O149">
        <v>124.09014999999999</v>
      </c>
      <c r="P149">
        <v>0.65556999999999999</v>
      </c>
    </row>
    <row r="150" spans="1:16" ht="15.75" x14ac:dyDescent="0.25">
      <c r="A150" s="5">
        <v>25</v>
      </c>
      <c r="B150" s="5" t="s">
        <v>42</v>
      </c>
      <c r="C150" s="13">
        <v>2021</v>
      </c>
      <c r="D150" s="1">
        <v>91790.93</v>
      </c>
      <c r="E150" s="1">
        <v>142615.01999999999</v>
      </c>
      <c r="F150">
        <f t="shared" si="278"/>
        <v>4.9627997700296058</v>
      </c>
      <c r="G150">
        <f t="shared" si="279"/>
        <v>5.1541652671680511</v>
      </c>
      <c r="H150" s="6">
        <v>49.69</v>
      </c>
      <c r="I150" s="6">
        <v>91.27</v>
      </c>
      <c r="J150" s="6">
        <v>61.94</v>
      </c>
      <c r="K150" s="1">
        <v>3012.3</v>
      </c>
      <c r="L150" s="1">
        <v>73.3</v>
      </c>
      <c r="M150" s="1">
        <v>9139.5</v>
      </c>
      <c r="N150">
        <f>LOG(M150)</f>
        <v>3.9609224371801504</v>
      </c>
      <c r="O150">
        <v>124.09014999999999</v>
      </c>
      <c r="P150">
        <v>0.65556999999999999</v>
      </c>
    </row>
    <row r="151" spans="1:16" ht="15.75" x14ac:dyDescent="0.25">
      <c r="A151" s="5">
        <v>25</v>
      </c>
      <c r="B151" s="5" t="s">
        <v>42</v>
      </c>
      <c r="C151" s="13">
        <v>2022</v>
      </c>
      <c r="D151" s="1">
        <v>96767.7</v>
      </c>
      <c r="E151" s="1">
        <v>157028.35999999999</v>
      </c>
      <c r="F151">
        <f t="shared" si="278"/>
        <v>4.9857304187479246</v>
      </c>
      <c r="G151">
        <f t="shared" si="279"/>
        <v>5.1959780949520677</v>
      </c>
      <c r="H151" s="6">
        <v>48.24</v>
      </c>
      <c r="I151" s="6">
        <v>92.41</v>
      </c>
      <c r="J151" s="9">
        <v>61.89</v>
      </c>
      <c r="K151" s="1">
        <v>3758.6</v>
      </c>
      <c r="L151" s="1">
        <v>73.81</v>
      </c>
      <c r="M151" s="1">
        <v>9225.7999999999993</v>
      </c>
      <c r="N151">
        <f>LOG(M151)</f>
        <v>3.9650040355922291</v>
      </c>
      <c r="O151">
        <v>124.09014999999999</v>
      </c>
      <c r="P151">
        <v>0.65556999999999999</v>
      </c>
    </row>
    <row r="152" spans="1:16" ht="15.75" x14ac:dyDescent="0.25">
      <c r="A152" s="5">
        <v>26</v>
      </c>
      <c r="B152" s="5" t="s">
        <v>43</v>
      </c>
      <c r="C152" s="13">
        <v>2017</v>
      </c>
      <c r="D152" s="1">
        <v>97474.86</v>
      </c>
      <c r="E152" s="1">
        <v>133951.16</v>
      </c>
      <c r="F152">
        <f t="shared" si="278"/>
        <v>4.9888926200973032</v>
      </c>
      <c r="G152">
        <f t="shared" si="279"/>
        <v>5.1269464788954604</v>
      </c>
      <c r="H152" s="6">
        <v>50</v>
      </c>
      <c r="I152" s="6">
        <v>94.38</v>
      </c>
      <c r="J152" s="6">
        <v>84.32</v>
      </c>
      <c r="K152" s="1">
        <v>1488.2</v>
      </c>
      <c r="L152" s="1">
        <v>68.11</v>
      </c>
      <c r="M152" s="1">
        <v>2961.1</v>
      </c>
      <c r="N152">
        <f>LOG(M152)</f>
        <v>3.4714530742973873</v>
      </c>
      <c r="O152">
        <v>120.80886</v>
      </c>
      <c r="P152">
        <v>-1.6937800000000001</v>
      </c>
    </row>
    <row r="153" spans="1:16" ht="15.75" x14ac:dyDescent="0.25">
      <c r="A153" s="5">
        <v>26</v>
      </c>
      <c r="B153" s="5" t="s">
        <v>43</v>
      </c>
      <c r="C153" s="13">
        <v>2018</v>
      </c>
      <c r="D153" s="1">
        <v>117555.83</v>
      </c>
      <c r="E153" s="1">
        <v>167135.76999999999</v>
      </c>
      <c r="F153">
        <f t="shared" si="278"/>
        <v>5.0702441721597644</v>
      </c>
      <c r="G153">
        <f t="shared" si="279"/>
        <v>5.2230694065130674</v>
      </c>
      <c r="H153" s="6">
        <v>45.56</v>
      </c>
      <c r="I153" s="6">
        <v>93.56</v>
      </c>
      <c r="J153" s="6">
        <v>84.58</v>
      </c>
      <c r="K153" s="1">
        <v>4320.1000000000004</v>
      </c>
      <c r="L153" s="1">
        <v>68.88</v>
      </c>
      <c r="M153" s="1">
        <v>1340.1</v>
      </c>
      <c r="N153">
        <f>LOG(M153)</f>
        <v>3.1271372071915011</v>
      </c>
      <c r="O153">
        <v>120.80886</v>
      </c>
      <c r="P153">
        <v>-1.6937800000000001</v>
      </c>
    </row>
    <row r="154" spans="1:16" ht="15.75" x14ac:dyDescent="0.25">
      <c r="A154" s="5">
        <v>26</v>
      </c>
      <c r="B154" s="5" t="s">
        <v>43</v>
      </c>
      <c r="C154" s="13">
        <v>2019</v>
      </c>
      <c r="D154" s="1">
        <v>127935.06</v>
      </c>
      <c r="E154" s="1">
        <v>185740.09</v>
      </c>
      <c r="F154">
        <f t="shared" si="278"/>
        <v>5.1069895771447076</v>
      </c>
      <c r="G154">
        <f t="shared" si="279"/>
        <v>5.2689056516486135</v>
      </c>
      <c r="H154" s="6">
        <v>62.59</v>
      </c>
      <c r="I154" s="6">
        <v>92.98</v>
      </c>
      <c r="J154" s="6">
        <v>83.89</v>
      </c>
      <c r="K154" s="1">
        <v>8259.6</v>
      </c>
      <c r="L154" s="1">
        <v>69.5</v>
      </c>
      <c r="M154" s="1">
        <v>1359.2</v>
      </c>
      <c r="N154">
        <f>LOG(M154)</f>
        <v>3.1332833658609891</v>
      </c>
      <c r="O154">
        <v>120.80886</v>
      </c>
      <c r="P154">
        <v>-1.6937800000000001</v>
      </c>
    </row>
    <row r="155" spans="1:16" ht="15.75" x14ac:dyDescent="0.25">
      <c r="A155" s="5">
        <v>26</v>
      </c>
      <c r="B155" s="5" t="s">
        <v>43</v>
      </c>
      <c r="C155" s="13">
        <v>2020</v>
      </c>
      <c r="D155" s="1">
        <v>134152.69</v>
      </c>
      <c r="E155" s="1">
        <v>197440.78</v>
      </c>
      <c r="F155">
        <f t="shared" si="278"/>
        <v>5.1275993854719424</v>
      </c>
      <c r="G155">
        <f t="shared" si="279"/>
        <v>5.2954368580593201</v>
      </c>
      <c r="H155" s="6">
        <v>61.67</v>
      </c>
      <c r="I155" s="6">
        <v>91.8</v>
      </c>
      <c r="J155" s="6">
        <v>84.1</v>
      </c>
      <c r="K155" s="1">
        <v>3005.6</v>
      </c>
      <c r="L155" s="1">
        <v>69.55</v>
      </c>
      <c r="M155" s="1">
        <v>1419.2</v>
      </c>
      <c r="N155">
        <f>LOG(M155)</f>
        <v>3.1520436024876513</v>
      </c>
      <c r="O155">
        <v>120.80886</v>
      </c>
      <c r="P155">
        <v>-1.6937800000000001</v>
      </c>
    </row>
    <row r="156" spans="1:16" ht="15.75" x14ac:dyDescent="0.25">
      <c r="A156" s="5">
        <v>26</v>
      </c>
      <c r="B156" s="5" t="s">
        <v>43</v>
      </c>
      <c r="C156" s="13">
        <v>2021</v>
      </c>
      <c r="D156" s="1">
        <v>149848.82</v>
      </c>
      <c r="E156" s="1">
        <v>247328.39</v>
      </c>
      <c r="F156">
        <f t="shared" si="278"/>
        <v>5.1756533273984049</v>
      </c>
      <c r="G156">
        <f t="shared" si="279"/>
        <v>5.3932739704360086</v>
      </c>
      <c r="H156" s="6">
        <v>55.84</v>
      </c>
      <c r="I156" s="6">
        <v>91.33</v>
      </c>
      <c r="J156" s="6">
        <v>83.1</v>
      </c>
      <c r="K156" s="1">
        <v>3480</v>
      </c>
      <c r="L156" s="1">
        <v>69.790000000000006</v>
      </c>
      <c r="M156" s="1">
        <v>1436.8</v>
      </c>
      <c r="N156">
        <f>LOG(M156)</f>
        <v>3.1573963193232291</v>
      </c>
      <c r="O156">
        <v>120.80886</v>
      </c>
      <c r="P156">
        <v>-1.6937800000000001</v>
      </c>
    </row>
    <row r="157" spans="1:16" ht="15.75" x14ac:dyDescent="0.25">
      <c r="A157" s="5">
        <v>26</v>
      </c>
      <c r="B157" s="5" t="s">
        <v>43</v>
      </c>
      <c r="C157" s="13">
        <v>2022</v>
      </c>
      <c r="D157" s="1">
        <v>172578.03</v>
      </c>
      <c r="E157" s="1">
        <v>323617.15999999997</v>
      </c>
      <c r="F157">
        <f t="shared" si="278"/>
        <v>5.2369855071551035</v>
      </c>
      <c r="G157">
        <f t="shared" si="279"/>
        <v>5.5100315422842376</v>
      </c>
      <c r="H157" s="6">
        <v>57.71</v>
      </c>
      <c r="I157" s="6">
        <v>91.86</v>
      </c>
      <c r="J157" s="9">
        <v>83.1</v>
      </c>
      <c r="K157" s="1">
        <v>5042.1000000000004</v>
      </c>
      <c r="L157" s="1">
        <v>70.28</v>
      </c>
      <c r="M157" s="1">
        <v>1458.6</v>
      </c>
      <c r="N157">
        <f>LOG(M157)</f>
        <v>3.1639362092269794</v>
      </c>
      <c r="O157">
        <v>120.80886</v>
      </c>
      <c r="P157">
        <v>-1.6937800000000001</v>
      </c>
    </row>
    <row r="158" spans="1:16" ht="15.75" x14ac:dyDescent="0.25">
      <c r="A158" s="5">
        <v>27</v>
      </c>
      <c r="B158" s="5" t="s">
        <v>44</v>
      </c>
      <c r="C158" s="13">
        <v>2017</v>
      </c>
      <c r="D158" s="1">
        <v>288814.17</v>
      </c>
      <c r="E158" s="1">
        <v>415588.2</v>
      </c>
      <c r="F158">
        <f t="shared" si="278"/>
        <v>5.4606184970757221</v>
      </c>
      <c r="G158">
        <f t="shared" si="279"/>
        <v>5.618663207923543</v>
      </c>
      <c r="H158" s="6">
        <v>54.29</v>
      </c>
      <c r="I158" s="6">
        <v>88.66</v>
      </c>
      <c r="J158" s="6">
        <v>54.81</v>
      </c>
      <c r="K158" s="1">
        <v>1969.4</v>
      </c>
      <c r="L158" s="1">
        <v>70.34</v>
      </c>
      <c r="M158" s="1">
        <v>8674.4</v>
      </c>
      <c r="N158">
        <f>LOG(M158)</f>
        <v>3.9382394447654065</v>
      </c>
      <c r="O158">
        <v>104.09305999999999</v>
      </c>
      <c r="P158">
        <v>-3.1266799999999999</v>
      </c>
    </row>
    <row r="159" spans="1:16" ht="15.75" x14ac:dyDescent="0.25">
      <c r="A159" s="5">
        <v>27</v>
      </c>
      <c r="B159" s="5" t="s">
        <v>44</v>
      </c>
      <c r="C159" s="13">
        <v>2018</v>
      </c>
      <c r="D159" s="1">
        <v>309156.19</v>
      </c>
      <c r="E159" s="1">
        <v>461774.74</v>
      </c>
      <c r="F159">
        <f t="shared" si="278"/>
        <v>5.49017794647109</v>
      </c>
      <c r="G159">
        <f t="shared" si="279"/>
        <v>5.6644301724558748</v>
      </c>
      <c r="H159" s="6">
        <v>57.7</v>
      </c>
      <c r="I159" s="6">
        <v>89.09</v>
      </c>
      <c r="J159" s="6">
        <v>54.94</v>
      </c>
      <c r="K159" s="1">
        <v>3275.9</v>
      </c>
      <c r="L159" s="1">
        <v>70.900000000000006</v>
      </c>
      <c r="M159" s="1">
        <v>2623.6</v>
      </c>
      <c r="N159">
        <f>LOG(M159)</f>
        <v>3.4188976222299976</v>
      </c>
      <c r="O159">
        <v>104.09305999999999</v>
      </c>
      <c r="P159">
        <v>-3.1266799999999999</v>
      </c>
    </row>
    <row r="160" spans="1:16" ht="15.75" x14ac:dyDescent="0.25">
      <c r="A160" s="5">
        <v>27</v>
      </c>
      <c r="B160" s="5" t="s">
        <v>44</v>
      </c>
      <c r="C160" s="13">
        <v>2019</v>
      </c>
      <c r="D160" s="1">
        <v>330506.38</v>
      </c>
      <c r="E160" s="1">
        <v>504320.73</v>
      </c>
      <c r="F160">
        <f t="shared" si="278"/>
        <v>5.5191798473982132</v>
      </c>
      <c r="G160">
        <f t="shared" si="279"/>
        <v>5.7027068201114943</v>
      </c>
      <c r="H160" s="6">
        <v>58.4</v>
      </c>
      <c r="I160" s="6">
        <v>89.6</v>
      </c>
      <c r="J160" s="6">
        <v>58.06</v>
      </c>
      <c r="K160" s="1">
        <v>5672.6</v>
      </c>
      <c r="L160" s="1">
        <v>71.66</v>
      </c>
      <c r="M160" s="1">
        <v>2663.7</v>
      </c>
      <c r="N160">
        <f>LOG(M160)</f>
        <v>3.4254853107080319</v>
      </c>
      <c r="O160">
        <v>104.09305999999999</v>
      </c>
      <c r="P160">
        <v>-3.1266799999999999</v>
      </c>
    </row>
    <row r="161" spans="1:16" ht="15.75" x14ac:dyDescent="0.25">
      <c r="A161" s="5">
        <v>27</v>
      </c>
      <c r="B161" s="5" t="s">
        <v>44</v>
      </c>
      <c r="C161" s="13">
        <v>2020</v>
      </c>
      <c r="D161" s="1">
        <v>328154.57</v>
      </c>
      <c r="E161" s="1">
        <v>504052.53</v>
      </c>
      <c r="F161">
        <f t="shared" si="278"/>
        <v>5.516078456778108</v>
      </c>
      <c r="G161">
        <f t="shared" si="279"/>
        <v>5.7024757989461907</v>
      </c>
      <c r="H161" s="6">
        <v>52.38</v>
      </c>
      <c r="I161" s="6">
        <v>88.73</v>
      </c>
      <c r="J161" s="6">
        <v>55.1</v>
      </c>
      <c r="K161" s="1">
        <v>9142</v>
      </c>
      <c r="L161" s="1">
        <v>71.930000000000007</v>
      </c>
      <c r="M161" s="1">
        <v>2624.9</v>
      </c>
      <c r="N161">
        <f>LOG(M161)</f>
        <v>3.4191127628751419</v>
      </c>
      <c r="O161">
        <v>104.09305999999999</v>
      </c>
      <c r="P161">
        <v>-3.1266799999999999</v>
      </c>
    </row>
    <row r="162" spans="1:16" ht="15.75" x14ac:dyDescent="0.25">
      <c r="A162" s="5">
        <v>27</v>
      </c>
      <c r="B162" s="5" t="s">
        <v>44</v>
      </c>
      <c r="C162" s="13">
        <v>2021</v>
      </c>
      <c r="D162" s="1">
        <v>343395.41</v>
      </c>
      <c r="E162" s="1">
        <v>545172.68000000005</v>
      </c>
      <c r="F162">
        <f t="shared" si="278"/>
        <v>5.5357944858598591</v>
      </c>
      <c r="G162">
        <f t="shared" si="279"/>
        <v>5.7365340840985652</v>
      </c>
      <c r="H162" s="6">
        <v>56.82</v>
      </c>
      <c r="I162" s="6">
        <v>89.13</v>
      </c>
      <c r="J162" s="6">
        <v>55.4</v>
      </c>
      <c r="K162" s="1">
        <v>12075.4</v>
      </c>
      <c r="L162" s="1">
        <v>72.239999999999995</v>
      </c>
      <c r="M162" s="1">
        <v>2659.2</v>
      </c>
      <c r="N162">
        <f>LOG(M162)</f>
        <v>3.4247510021040171</v>
      </c>
      <c r="O162">
        <v>104.09305999999999</v>
      </c>
      <c r="P162">
        <v>-3.1266799999999999</v>
      </c>
    </row>
    <row r="163" spans="1:16" ht="15.75" x14ac:dyDescent="0.25">
      <c r="A163" s="5">
        <v>27</v>
      </c>
      <c r="B163" s="5" t="s">
        <v>44</v>
      </c>
      <c r="C163" s="13">
        <v>2022</v>
      </c>
      <c r="D163" s="1">
        <v>360874.18</v>
      </c>
      <c r="E163" s="1">
        <v>605144.68000000005</v>
      </c>
      <c r="F163">
        <f t="shared" si="278"/>
        <v>5.5573558100598754</v>
      </c>
      <c r="G163">
        <f t="shared" si="279"/>
        <v>5.7818592196339482</v>
      </c>
      <c r="H163" s="6">
        <v>57.79</v>
      </c>
      <c r="I163" s="6">
        <v>90.35</v>
      </c>
      <c r="J163" s="9">
        <v>55.46</v>
      </c>
      <c r="K163" s="1">
        <v>7528</v>
      </c>
      <c r="L163" s="1">
        <v>72.819999999999993</v>
      </c>
      <c r="M163" s="1">
        <v>2701.7</v>
      </c>
      <c r="N163">
        <f>LOG(M163)</f>
        <v>3.4316371227844611</v>
      </c>
      <c r="O163">
        <v>104.09305999999999</v>
      </c>
      <c r="P163">
        <v>-3.1266799999999999</v>
      </c>
    </row>
    <row r="164" spans="1:16" ht="15.75" x14ac:dyDescent="0.25">
      <c r="A164" s="5">
        <v>28</v>
      </c>
      <c r="B164" s="5" t="s">
        <v>45</v>
      </c>
      <c r="C164" s="13">
        <v>2017</v>
      </c>
      <c r="D164" s="1">
        <v>83001.69</v>
      </c>
      <c r="E164" s="1">
        <v>107423.45</v>
      </c>
      <c r="F164">
        <f t="shared" si="278"/>
        <v>4.9190869351495952</v>
      </c>
      <c r="G164">
        <f t="shared" si="279"/>
        <v>5.0310990960184645</v>
      </c>
      <c r="H164" s="6">
        <v>70</v>
      </c>
      <c r="I164" s="6">
        <v>91.04</v>
      </c>
      <c r="J164" s="6">
        <v>75.12</v>
      </c>
      <c r="K164" s="1">
        <v>3148.7</v>
      </c>
      <c r="L164" s="1">
        <v>69.86</v>
      </c>
      <c r="M164" s="1">
        <v>2583.4</v>
      </c>
      <c r="N164">
        <f>LOG(M164)</f>
        <v>3.412191655241569</v>
      </c>
      <c r="O164">
        <v>121.72796</v>
      </c>
      <c r="P164">
        <v>-3.5491199999999998</v>
      </c>
    </row>
    <row r="165" spans="1:16" ht="15.75" x14ac:dyDescent="0.25">
      <c r="A165" s="5">
        <v>28</v>
      </c>
      <c r="B165" s="5" t="s">
        <v>45</v>
      </c>
      <c r="C165" s="13">
        <v>2018</v>
      </c>
      <c r="D165" s="1">
        <v>88310.05</v>
      </c>
      <c r="E165" s="1">
        <v>118066.61</v>
      </c>
      <c r="F165">
        <f t="shared" si="278"/>
        <v>4.9460101306577133</v>
      </c>
      <c r="G165">
        <f t="shared" si="279"/>
        <v>5.0721270936926102</v>
      </c>
      <c r="H165" s="6">
        <v>60</v>
      </c>
      <c r="I165" s="6">
        <v>89.85</v>
      </c>
      <c r="J165" s="6">
        <v>75.91</v>
      </c>
      <c r="K165" s="1">
        <v>1603.4</v>
      </c>
      <c r="L165" s="1">
        <v>70.61</v>
      </c>
      <c r="M165" s="1">
        <v>4309.2</v>
      </c>
      <c r="N165">
        <f>LOG(M165)</f>
        <v>3.6343966511736978</v>
      </c>
      <c r="O165">
        <v>121.72796</v>
      </c>
      <c r="P165">
        <v>-3.5491199999999998</v>
      </c>
    </row>
    <row r="166" spans="1:16" ht="15.75" x14ac:dyDescent="0.25">
      <c r="A166" s="5">
        <v>28</v>
      </c>
      <c r="B166" s="5" t="s">
        <v>45</v>
      </c>
      <c r="C166" s="13">
        <v>2019</v>
      </c>
      <c r="D166" s="1">
        <v>94053.52</v>
      </c>
      <c r="E166" s="1">
        <v>129225.15</v>
      </c>
      <c r="F166">
        <f t="shared" si="278"/>
        <v>4.9733750538786303</v>
      </c>
      <c r="G166">
        <f t="shared" si="279"/>
        <v>5.1113470449537504</v>
      </c>
      <c r="H166" s="6">
        <v>50.55</v>
      </c>
      <c r="I166" s="6">
        <v>90.01</v>
      </c>
      <c r="J166" s="6">
        <v>74.67</v>
      </c>
      <c r="K166" s="1">
        <v>3827.1</v>
      </c>
      <c r="L166" s="1">
        <v>71.2</v>
      </c>
      <c r="M166" s="1">
        <v>4362</v>
      </c>
      <c r="N166">
        <f>LOG(M166)</f>
        <v>3.6396856612426816</v>
      </c>
      <c r="O166">
        <v>121.72796</v>
      </c>
      <c r="P166">
        <v>-3.5491199999999998</v>
      </c>
    </row>
    <row r="167" spans="1:16" ht="15.75" x14ac:dyDescent="0.25">
      <c r="A167" s="5">
        <v>28</v>
      </c>
      <c r="B167" s="5" t="s">
        <v>45</v>
      </c>
      <c r="C167" s="13">
        <v>2020</v>
      </c>
      <c r="D167" s="1">
        <v>93445.72</v>
      </c>
      <c r="E167" s="1">
        <v>130107.27</v>
      </c>
      <c r="F167">
        <f t="shared" si="278"/>
        <v>4.9705594146185446</v>
      </c>
      <c r="G167">
        <f t="shared" si="279"/>
        <v>5.1143015642992573</v>
      </c>
      <c r="H167" s="6">
        <v>51.6</v>
      </c>
      <c r="I167" s="6">
        <v>91.21</v>
      </c>
      <c r="J167" s="6">
        <v>74.31</v>
      </c>
      <c r="K167" s="1">
        <v>2865.7</v>
      </c>
      <c r="L167" s="1">
        <v>71.45</v>
      </c>
      <c r="M167" s="1">
        <v>4317.3999999999996</v>
      </c>
      <c r="N167">
        <f>LOG(M167)</f>
        <v>3.6352222871888547</v>
      </c>
      <c r="O167">
        <v>121.72796</v>
      </c>
      <c r="P167">
        <v>-3.5491199999999998</v>
      </c>
    </row>
    <row r="168" spans="1:16" ht="15.75" x14ac:dyDescent="0.25">
      <c r="A168" s="5">
        <v>28</v>
      </c>
      <c r="B168" s="5" t="s">
        <v>45</v>
      </c>
      <c r="C168" s="13">
        <v>2021</v>
      </c>
      <c r="D168" s="1">
        <v>97276.36</v>
      </c>
      <c r="E168" s="1">
        <v>139463.63</v>
      </c>
      <c r="F168">
        <f t="shared" si="278"/>
        <v>4.9880073112965624</v>
      </c>
      <c r="G168">
        <f t="shared" si="279"/>
        <v>5.1444609649593378</v>
      </c>
      <c r="H168" s="6">
        <v>53.26</v>
      </c>
      <c r="I168" s="6">
        <v>90.89</v>
      </c>
      <c r="J168" s="6">
        <v>74.34</v>
      </c>
      <c r="K168" s="1">
        <v>4334.2</v>
      </c>
      <c r="L168" s="1">
        <v>71.66</v>
      </c>
      <c r="M168" s="1">
        <v>4362.7</v>
      </c>
      <c r="N168">
        <f>LOG(M168)</f>
        <v>3.6397553498595929</v>
      </c>
      <c r="O168">
        <v>121.72796</v>
      </c>
      <c r="P168">
        <v>-3.5491199999999998</v>
      </c>
    </row>
    <row r="169" spans="1:16" ht="15.75" x14ac:dyDescent="0.25">
      <c r="A169" s="5">
        <v>28</v>
      </c>
      <c r="B169" s="5" t="s">
        <v>45</v>
      </c>
      <c r="C169" s="13">
        <v>2022</v>
      </c>
      <c r="D169" s="1">
        <v>102657.94</v>
      </c>
      <c r="E169" s="1">
        <v>158761.13</v>
      </c>
      <c r="F169">
        <f t="shared" si="278"/>
        <v>5.0113925451808425</v>
      </c>
      <c r="G169">
        <f t="shared" si="279"/>
        <v>5.200744181385403</v>
      </c>
      <c r="H169" s="6">
        <v>56.21</v>
      </c>
      <c r="I169" s="6">
        <v>92.05</v>
      </c>
      <c r="J169" s="9">
        <v>74.33</v>
      </c>
      <c r="K169" s="1">
        <v>7596</v>
      </c>
      <c r="L169" s="1">
        <v>72.23</v>
      </c>
      <c r="M169" s="1">
        <v>4415.1000000000004</v>
      </c>
      <c r="N169">
        <f>LOG(M169)</f>
        <v>3.6449405445967944</v>
      </c>
      <c r="O169">
        <v>121.72796</v>
      </c>
      <c r="P169">
        <v>-3.5491199999999998</v>
      </c>
    </row>
    <row r="170" spans="1:16" ht="15.75" x14ac:dyDescent="0.25">
      <c r="A170" s="10">
        <v>29</v>
      </c>
      <c r="B170" s="10" t="s">
        <v>46</v>
      </c>
      <c r="C170" s="13">
        <v>2017</v>
      </c>
      <c r="D170" s="1">
        <v>25090.13</v>
      </c>
      <c r="E170" s="1">
        <v>34537.68</v>
      </c>
      <c r="F170">
        <f t="shared" si="278"/>
        <v>4.3995029115392574</v>
      </c>
      <c r="G170">
        <f t="shared" si="279"/>
        <v>4.5382931613426791</v>
      </c>
      <c r="H170" s="6">
        <v>48.57</v>
      </c>
      <c r="I170" s="6">
        <v>94.79</v>
      </c>
      <c r="J170" s="6">
        <v>78.92</v>
      </c>
      <c r="K170" s="1">
        <v>888.4</v>
      </c>
      <c r="L170" s="1">
        <v>67.010000000000005</v>
      </c>
      <c r="M170" s="1">
        <v>1155.5999999999999</v>
      </c>
      <c r="N170">
        <f>LOG(M170)</f>
        <v>3.0628075331721591</v>
      </c>
      <c r="O170">
        <v>122.45559</v>
      </c>
      <c r="P170">
        <v>0.71862000000000004</v>
      </c>
    </row>
    <row r="171" spans="1:16" ht="15.75" x14ac:dyDescent="0.25">
      <c r="A171" s="10">
        <v>29</v>
      </c>
      <c r="B171" s="10" t="s">
        <v>46</v>
      </c>
      <c r="C171" s="13">
        <v>2018</v>
      </c>
      <c r="D171" s="1">
        <v>26719.27</v>
      </c>
      <c r="E171" s="1">
        <v>37731.39</v>
      </c>
      <c r="F171">
        <f t="shared" si="278"/>
        <v>4.4268245885601463</v>
      </c>
      <c r="G171">
        <f t="shared" si="279"/>
        <v>4.576702804623479</v>
      </c>
      <c r="H171" s="6">
        <v>50.67</v>
      </c>
      <c r="I171" s="6">
        <v>92.17</v>
      </c>
      <c r="J171" s="6">
        <v>79.64</v>
      </c>
      <c r="K171" s="1">
        <v>2666.8</v>
      </c>
      <c r="L171" s="1">
        <v>67.709999999999994</v>
      </c>
      <c r="M171" s="1">
        <v>5077.7</v>
      </c>
      <c r="N171">
        <f>LOG(M171)</f>
        <v>3.7056670383665073</v>
      </c>
      <c r="O171">
        <v>122.45559</v>
      </c>
      <c r="P171">
        <v>0.71862000000000004</v>
      </c>
    </row>
    <row r="172" spans="1:16" ht="15.75" x14ac:dyDescent="0.25">
      <c r="A172" s="10">
        <v>29</v>
      </c>
      <c r="B172" s="10" t="s">
        <v>46</v>
      </c>
      <c r="C172" s="13">
        <v>2019</v>
      </c>
      <c r="D172" s="1">
        <v>28429.97</v>
      </c>
      <c r="E172" s="1">
        <v>41145.449999999997</v>
      </c>
      <c r="F172">
        <f t="shared" si="278"/>
        <v>4.4537764014125196</v>
      </c>
      <c r="G172">
        <f t="shared" si="279"/>
        <v>4.614321816482744</v>
      </c>
      <c r="H172" s="6">
        <v>57.2</v>
      </c>
      <c r="I172" s="6">
        <v>86.88</v>
      </c>
      <c r="J172" s="6">
        <v>79.37</v>
      </c>
      <c r="K172" s="1">
        <v>844.4</v>
      </c>
      <c r="L172" s="1">
        <v>68.489999999999995</v>
      </c>
      <c r="M172" s="1">
        <v>5152.3999999999996</v>
      </c>
      <c r="N172">
        <f>LOG(M172)</f>
        <v>3.7120095715585504</v>
      </c>
      <c r="O172">
        <v>122.45559</v>
      </c>
      <c r="P172">
        <v>0.71862000000000004</v>
      </c>
    </row>
    <row r="173" spans="1:16" ht="15.75" x14ac:dyDescent="0.25">
      <c r="A173" s="10">
        <v>29</v>
      </c>
      <c r="B173" s="10" t="s">
        <v>46</v>
      </c>
      <c r="C173" s="13">
        <v>2020</v>
      </c>
      <c r="D173" s="1">
        <v>28425.38</v>
      </c>
      <c r="E173" s="1">
        <v>41729.89</v>
      </c>
      <c r="F173">
        <f t="shared" si="278"/>
        <v>4.4537062791926667</v>
      </c>
      <c r="G173">
        <f t="shared" si="279"/>
        <v>4.6204472399128598</v>
      </c>
      <c r="H173" s="6">
        <v>53</v>
      </c>
      <c r="I173" s="6">
        <v>93.89</v>
      </c>
      <c r="J173" s="6">
        <v>79.11</v>
      </c>
      <c r="K173" s="1">
        <v>683.6</v>
      </c>
      <c r="L173" s="1">
        <v>68.680000000000007</v>
      </c>
      <c r="M173" s="1">
        <v>5320.1</v>
      </c>
      <c r="N173">
        <f>LOG(M173)</f>
        <v>3.7259197956484362</v>
      </c>
      <c r="O173">
        <v>122.45559</v>
      </c>
      <c r="P173">
        <v>0.71862000000000004</v>
      </c>
    </row>
    <row r="174" spans="1:16" ht="15.75" x14ac:dyDescent="0.25">
      <c r="A174" s="10">
        <v>29</v>
      </c>
      <c r="B174" s="10" t="s">
        <v>46</v>
      </c>
      <c r="C174" s="13">
        <v>2021</v>
      </c>
      <c r="D174" s="1">
        <v>29110.05</v>
      </c>
      <c r="E174" s="1">
        <v>43896.49</v>
      </c>
      <c r="F174">
        <f t="shared" si="278"/>
        <v>4.4640429513922788</v>
      </c>
      <c r="G174">
        <f t="shared" si="279"/>
        <v>4.642429795080961</v>
      </c>
      <c r="H174" s="6">
        <v>53.46</v>
      </c>
      <c r="I174" s="6">
        <v>93.96</v>
      </c>
      <c r="J174" s="6">
        <v>79.209999999999994</v>
      </c>
      <c r="K174" s="1">
        <v>1004.3</v>
      </c>
      <c r="L174" s="1">
        <v>69</v>
      </c>
      <c r="M174" s="1">
        <v>5390</v>
      </c>
      <c r="N174">
        <f>LOG(M174)</f>
        <v>3.7315887651867388</v>
      </c>
      <c r="O174">
        <v>122.45559</v>
      </c>
      <c r="P174">
        <v>0.71862000000000004</v>
      </c>
    </row>
    <row r="175" spans="1:16" ht="15.75" x14ac:dyDescent="0.25">
      <c r="A175" s="10">
        <v>29</v>
      </c>
      <c r="B175" s="10" t="s">
        <v>46</v>
      </c>
      <c r="C175" s="13">
        <v>2022</v>
      </c>
      <c r="D175" s="1">
        <v>30286.45</v>
      </c>
      <c r="E175" s="1">
        <v>47574.43</v>
      </c>
      <c r="F175">
        <f t="shared" si="278"/>
        <v>4.4812483708645692</v>
      </c>
      <c r="G175">
        <f t="shared" si="279"/>
        <v>4.6773735936098699</v>
      </c>
      <c r="H175" s="6">
        <v>58.07</v>
      </c>
      <c r="I175" s="6">
        <v>94.47</v>
      </c>
      <c r="J175" s="9">
        <v>85.45</v>
      </c>
      <c r="K175" s="1">
        <v>1113.5</v>
      </c>
      <c r="L175" s="1">
        <v>69.81</v>
      </c>
      <c r="M175" s="1">
        <v>5473.7</v>
      </c>
      <c r="N175">
        <f>LOG(M175)</f>
        <v>3.7382809911166883</v>
      </c>
      <c r="O175">
        <v>122.45559</v>
      </c>
      <c r="P175">
        <v>0.71862000000000004</v>
      </c>
    </row>
    <row r="176" spans="1:16" ht="15.75" x14ac:dyDescent="0.25">
      <c r="A176" s="10">
        <v>30</v>
      </c>
      <c r="B176" s="10" t="s">
        <v>47</v>
      </c>
      <c r="C176" s="13">
        <v>2017</v>
      </c>
      <c r="D176" s="1">
        <v>29282.49</v>
      </c>
      <c r="E176" s="1">
        <v>39497.410000000003</v>
      </c>
      <c r="F176">
        <f t="shared" si="278"/>
        <v>4.4666080036459572</v>
      </c>
      <c r="G176">
        <f t="shared" si="279"/>
        <v>4.5965686181685657</v>
      </c>
      <c r="H176" s="6">
        <v>56.91</v>
      </c>
      <c r="I176" s="6">
        <v>91.45</v>
      </c>
      <c r="J176" s="6">
        <v>70.97</v>
      </c>
      <c r="K176" s="1">
        <v>660.2</v>
      </c>
      <c r="L176" s="1">
        <v>64.3</v>
      </c>
      <c r="M176" s="1">
        <v>1320.9</v>
      </c>
      <c r="N176">
        <f>LOG(M176)</f>
        <v>3.1208699401791882</v>
      </c>
      <c r="O176">
        <v>119.39190000000001</v>
      </c>
      <c r="P176">
        <v>-2.4974500000000002</v>
      </c>
    </row>
    <row r="177" spans="1:16" ht="15.75" x14ac:dyDescent="0.25">
      <c r="A177" s="10">
        <v>30</v>
      </c>
      <c r="B177" s="10" t="s">
        <v>47</v>
      </c>
      <c r="C177" s="13">
        <v>2018</v>
      </c>
      <c r="D177" s="1">
        <v>31114.14</v>
      </c>
      <c r="E177" s="1">
        <v>43457.83</v>
      </c>
      <c r="F177">
        <f t="shared" si="278"/>
        <v>4.4929578015147333</v>
      </c>
      <c r="G177">
        <f t="shared" si="279"/>
        <v>4.6380680366979323</v>
      </c>
      <c r="H177" s="6">
        <v>53.08</v>
      </c>
      <c r="I177" s="6">
        <v>89.26</v>
      </c>
      <c r="J177" s="6">
        <v>70.959999999999994</v>
      </c>
      <c r="K177" s="1">
        <v>3144.2</v>
      </c>
      <c r="L177" s="1">
        <v>65.099999999999994</v>
      </c>
      <c r="M177" s="1">
        <v>5360.3</v>
      </c>
      <c r="N177">
        <f>LOG(M177)</f>
        <v>3.7291890965395198</v>
      </c>
      <c r="O177">
        <v>119.39190000000001</v>
      </c>
      <c r="P177">
        <v>-2.4974500000000002</v>
      </c>
    </row>
    <row r="178" spans="1:16" ht="15.75" x14ac:dyDescent="0.25">
      <c r="A178" s="10">
        <v>30</v>
      </c>
      <c r="B178" s="10" t="s">
        <v>47</v>
      </c>
      <c r="C178" s="13">
        <v>2019</v>
      </c>
      <c r="D178" s="1">
        <v>32843.81</v>
      </c>
      <c r="E178" s="1">
        <v>46365.79</v>
      </c>
      <c r="F178">
        <f t="shared" si="278"/>
        <v>4.5164535310904901</v>
      </c>
      <c r="G178">
        <f t="shared" si="279"/>
        <v>4.6661976638756517</v>
      </c>
      <c r="H178" s="6">
        <v>56.15</v>
      </c>
      <c r="I178" s="6">
        <v>89.97</v>
      </c>
      <c r="J178" s="6">
        <v>70.48</v>
      </c>
      <c r="K178" s="1">
        <v>1187.2</v>
      </c>
      <c r="L178" s="1">
        <v>65.73</v>
      </c>
      <c r="M178" s="1">
        <v>5437.2</v>
      </c>
      <c r="N178">
        <f>LOG(M178)</f>
        <v>3.7353753082268106</v>
      </c>
      <c r="O178">
        <v>119.39190000000001</v>
      </c>
      <c r="P178">
        <v>-2.4974500000000002</v>
      </c>
    </row>
    <row r="179" spans="1:16" ht="15.75" x14ac:dyDescent="0.25">
      <c r="A179" s="10">
        <v>30</v>
      </c>
      <c r="B179" s="10" t="s">
        <v>47</v>
      </c>
      <c r="C179" s="13">
        <v>2020</v>
      </c>
      <c r="D179" s="1">
        <v>32074.02</v>
      </c>
      <c r="E179" s="1">
        <v>46465.91</v>
      </c>
      <c r="F179">
        <f t="shared" si="278"/>
        <v>4.5061533956753594</v>
      </c>
      <c r="G179">
        <f t="shared" si="279"/>
        <v>4.6671344469010023</v>
      </c>
      <c r="H179" s="6">
        <v>52.44</v>
      </c>
      <c r="I179" s="6">
        <v>89.72</v>
      </c>
      <c r="J179" s="6">
        <v>70.53</v>
      </c>
      <c r="K179" s="1">
        <v>252.9</v>
      </c>
      <c r="L179" s="1">
        <v>66.11</v>
      </c>
      <c r="M179" s="1">
        <v>5325.6</v>
      </c>
      <c r="N179">
        <f>LOG(M179)</f>
        <v>3.7263685439436145</v>
      </c>
      <c r="O179">
        <v>119.39190000000001</v>
      </c>
      <c r="P179">
        <v>-2.4974500000000002</v>
      </c>
    </row>
    <row r="180" spans="1:16" ht="15.75" x14ac:dyDescent="0.25">
      <c r="A180" s="10">
        <v>30</v>
      </c>
      <c r="B180" s="10" t="s">
        <v>47</v>
      </c>
      <c r="C180" s="13">
        <v>2021</v>
      </c>
      <c r="D180" s="1">
        <v>32898.230000000003</v>
      </c>
      <c r="E180" s="1">
        <v>50565.51</v>
      </c>
      <c r="F180">
        <f t="shared" si="278"/>
        <v>4.5171725325423289</v>
      </c>
      <c r="G180">
        <f t="shared" si="279"/>
        <v>4.7038543918608182</v>
      </c>
      <c r="H180" s="6">
        <v>56.04</v>
      </c>
      <c r="I180" s="6">
        <v>90.97</v>
      </c>
      <c r="J180" s="6">
        <v>72.680000000000007</v>
      </c>
      <c r="K180" s="1">
        <v>395.3</v>
      </c>
      <c r="L180" s="1">
        <v>66.36</v>
      </c>
      <c r="M180" s="1">
        <v>5387.7</v>
      </c>
      <c r="N180">
        <f>LOG(M180)</f>
        <v>3.7314034051704938</v>
      </c>
      <c r="O180">
        <v>119.39190000000001</v>
      </c>
      <c r="P180">
        <v>-2.4974500000000002</v>
      </c>
    </row>
    <row r="181" spans="1:16" ht="15.75" x14ac:dyDescent="0.25">
      <c r="A181" s="10">
        <v>30</v>
      </c>
      <c r="B181" s="10" t="s">
        <v>47</v>
      </c>
      <c r="C181" s="13">
        <v>2022</v>
      </c>
      <c r="D181" s="1">
        <v>33654.78</v>
      </c>
      <c r="E181" s="1">
        <v>54070.98</v>
      </c>
      <c r="F181">
        <f t="shared" si="278"/>
        <v>4.5270467559357508</v>
      </c>
      <c r="G181">
        <f t="shared" si="279"/>
        <v>4.7329642409411754</v>
      </c>
      <c r="H181" s="6">
        <v>56.41</v>
      </c>
      <c r="I181" s="6">
        <v>91.88</v>
      </c>
      <c r="J181" s="9">
        <v>72.650000000000006</v>
      </c>
      <c r="K181" s="1">
        <v>1313.3</v>
      </c>
      <c r="L181" s="1">
        <v>66.92</v>
      </c>
      <c r="M181" s="1">
        <v>5466.3</v>
      </c>
      <c r="N181">
        <f>LOG(M181)</f>
        <v>3.7376934628431551</v>
      </c>
      <c r="O181">
        <v>119.39190000000001</v>
      </c>
      <c r="P181">
        <v>-2.4974500000000002</v>
      </c>
    </row>
    <row r="182" spans="1:16" ht="15.75" x14ac:dyDescent="0.25">
      <c r="A182" s="10">
        <v>31</v>
      </c>
      <c r="B182" s="10" t="s">
        <v>48</v>
      </c>
      <c r="C182" s="13">
        <v>2017</v>
      </c>
      <c r="D182" s="1">
        <v>27814.05</v>
      </c>
      <c r="E182" s="1">
        <v>39881.550000000003</v>
      </c>
      <c r="F182">
        <f t="shared" si="278"/>
        <v>4.4442642310284688</v>
      </c>
      <c r="G182">
        <f t="shared" si="279"/>
        <v>4.6007720288614244</v>
      </c>
      <c r="H182" s="6">
        <v>49.83</v>
      </c>
      <c r="I182" s="6">
        <v>85.64</v>
      </c>
      <c r="J182" s="6">
        <v>86.37</v>
      </c>
      <c r="K182" s="1">
        <v>52.3</v>
      </c>
      <c r="L182" s="1">
        <v>68.19</v>
      </c>
      <c r="M182" s="1">
        <v>1730.2</v>
      </c>
      <c r="N182">
        <f>LOG(M182)</f>
        <v>3.2380963076814093</v>
      </c>
      <c r="O182">
        <v>129.42078000000001</v>
      </c>
      <c r="P182">
        <v>-3.1188400000000001</v>
      </c>
    </row>
    <row r="183" spans="1:16" ht="15.75" x14ac:dyDescent="0.25">
      <c r="A183" s="10">
        <v>31</v>
      </c>
      <c r="B183" s="10" t="s">
        <v>48</v>
      </c>
      <c r="C183" s="13">
        <v>2018</v>
      </c>
      <c r="D183" s="1">
        <v>29457.13</v>
      </c>
      <c r="E183" s="1">
        <v>43047.09</v>
      </c>
      <c r="F183">
        <f t="shared" si="278"/>
        <v>4.4691904313769273</v>
      </c>
      <c r="G183">
        <f t="shared" si="279"/>
        <v>4.6339437983063299</v>
      </c>
      <c r="H183" s="6">
        <v>55.83</v>
      </c>
      <c r="I183" s="6">
        <v>84.99</v>
      </c>
      <c r="J183" s="6">
        <v>88.78</v>
      </c>
      <c r="K183" s="1">
        <v>1013.5</v>
      </c>
      <c r="L183" s="1">
        <v>68.87</v>
      </c>
      <c r="M183" s="1">
        <v>1749.5</v>
      </c>
      <c r="N183">
        <f>LOG(M183)</f>
        <v>3.2429139468189252</v>
      </c>
      <c r="O183">
        <v>129.42078000000001</v>
      </c>
      <c r="P183">
        <v>-3.1188400000000001</v>
      </c>
    </row>
    <row r="184" spans="1:16" ht="15.75" x14ac:dyDescent="0.25">
      <c r="A184" s="10">
        <v>31</v>
      </c>
      <c r="B184" s="10" t="s">
        <v>48</v>
      </c>
      <c r="C184" s="13">
        <v>2019</v>
      </c>
      <c r="D184" s="1">
        <v>31049.45</v>
      </c>
      <c r="E184" s="1">
        <v>46152.82</v>
      </c>
      <c r="F184">
        <f t="shared" si="278"/>
        <v>4.492053911627556</v>
      </c>
      <c r="G184">
        <f t="shared" si="279"/>
        <v>4.664198242155484</v>
      </c>
      <c r="H184" s="6">
        <v>57.56</v>
      </c>
      <c r="I184" s="6">
        <v>88.72</v>
      </c>
      <c r="J184" s="6">
        <v>89.17</v>
      </c>
      <c r="K184" s="1">
        <v>283.2</v>
      </c>
      <c r="L184" s="1">
        <v>69.45</v>
      </c>
      <c r="M184" s="1">
        <v>1768.5</v>
      </c>
      <c r="N184">
        <f>LOG(M184)</f>
        <v>3.2476050641507705</v>
      </c>
      <c r="O184">
        <v>129.42078000000001</v>
      </c>
      <c r="P184">
        <v>-3.1188400000000001</v>
      </c>
    </row>
    <row r="185" spans="1:16" ht="15.75" x14ac:dyDescent="0.25">
      <c r="A185" s="10">
        <v>31</v>
      </c>
      <c r="B185" s="10" t="s">
        <v>48</v>
      </c>
      <c r="C185" s="13">
        <v>2020</v>
      </c>
      <c r="D185" s="1">
        <v>30765.89</v>
      </c>
      <c r="E185" s="1">
        <v>46263.47</v>
      </c>
      <c r="F185">
        <f t="shared" si="278"/>
        <v>4.4880694829377203</v>
      </c>
      <c r="G185">
        <f t="shared" si="279"/>
        <v>4.6652382039930593</v>
      </c>
      <c r="H185" s="6">
        <v>55.67</v>
      </c>
      <c r="I185" s="6">
        <v>90.41</v>
      </c>
      <c r="J185" s="6">
        <v>88.4</v>
      </c>
      <c r="K185" s="1">
        <v>474.8</v>
      </c>
      <c r="L185" s="1">
        <v>69.489999999999995</v>
      </c>
      <c r="M185" s="1">
        <v>1848.9</v>
      </c>
      <c r="N185">
        <f>LOG(M185)</f>
        <v>3.266913422450338</v>
      </c>
      <c r="O185">
        <v>129.42078000000001</v>
      </c>
      <c r="P185">
        <v>-3.1188400000000001</v>
      </c>
    </row>
    <row r="186" spans="1:16" ht="15.75" x14ac:dyDescent="0.25">
      <c r="A186" s="10">
        <v>31</v>
      </c>
      <c r="B186" s="10" t="s">
        <v>48</v>
      </c>
      <c r="C186" s="13">
        <v>2021</v>
      </c>
      <c r="D186" s="1">
        <v>31702.75</v>
      </c>
      <c r="E186" s="1">
        <v>48642.32</v>
      </c>
      <c r="F186">
        <f t="shared" si="278"/>
        <v>4.5010969359724697</v>
      </c>
      <c r="G186">
        <f t="shared" si="279"/>
        <v>4.6870142804745827</v>
      </c>
      <c r="H186" s="6">
        <v>55.56</v>
      </c>
      <c r="I186" s="6">
        <v>90.7</v>
      </c>
      <c r="J186" s="6">
        <v>90.21</v>
      </c>
      <c r="K186" s="1">
        <v>2939.7</v>
      </c>
      <c r="L186" s="1">
        <v>69.709999999999994</v>
      </c>
      <c r="M186" s="1">
        <v>1862.6</v>
      </c>
      <c r="N186">
        <f>LOG(M186)</f>
        <v>3.2701195986189027</v>
      </c>
      <c r="O186">
        <v>129.42078000000001</v>
      </c>
      <c r="P186">
        <v>-3.1188400000000001</v>
      </c>
    </row>
    <row r="187" spans="1:16" ht="15.75" x14ac:dyDescent="0.25">
      <c r="A187" s="10">
        <v>31</v>
      </c>
      <c r="B187" s="10" t="s">
        <v>48</v>
      </c>
      <c r="C187" s="13">
        <v>2022</v>
      </c>
      <c r="D187" s="1">
        <v>33321.870000000003</v>
      </c>
      <c r="E187" s="1">
        <v>53692.91</v>
      </c>
      <c r="F187">
        <f t="shared" si="278"/>
        <v>4.522729365720723</v>
      </c>
      <c r="G187">
        <f t="shared" si="279"/>
        <v>4.7299169421024567</v>
      </c>
      <c r="H187" s="6">
        <v>52.08</v>
      </c>
      <c r="I187" s="6">
        <v>91.46</v>
      </c>
      <c r="J187" s="9">
        <v>90.21</v>
      </c>
      <c r="K187" s="1">
        <v>611</v>
      </c>
      <c r="L187" s="1">
        <v>70.22</v>
      </c>
      <c r="M187" s="1">
        <v>1881.7</v>
      </c>
      <c r="N187">
        <f>LOG(M187)</f>
        <v>3.2745503849095301</v>
      </c>
      <c r="O187">
        <v>129.42078000000001</v>
      </c>
      <c r="P187">
        <v>-3.1188400000000001</v>
      </c>
    </row>
    <row r="188" spans="1:16" ht="15.75" x14ac:dyDescent="0.25">
      <c r="A188" s="10">
        <v>32</v>
      </c>
      <c r="B188" s="10" t="s">
        <v>49</v>
      </c>
      <c r="C188" s="13">
        <v>2017</v>
      </c>
      <c r="D188" s="1">
        <v>23210.86</v>
      </c>
      <c r="E188" s="1">
        <v>32272.57</v>
      </c>
      <c r="F188">
        <f t="shared" si="278"/>
        <v>4.3656912320688042</v>
      </c>
      <c r="G188">
        <f t="shared" si="279"/>
        <v>4.5088335514707154</v>
      </c>
      <c r="H188" s="6">
        <v>50.62</v>
      </c>
      <c r="I188" s="6">
        <v>96</v>
      </c>
      <c r="J188" s="6">
        <v>82.6</v>
      </c>
      <c r="K188" s="1">
        <v>1150.5999999999999</v>
      </c>
      <c r="L188" s="1">
        <v>67.2</v>
      </c>
      <c r="M188" s="1">
        <v>1201.7</v>
      </c>
      <c r="N188">
        <f>LOG(M188)</f>
        <v>3.07979606117236</v>
      </c>
      <c r="O188">
        <v>127.97202</v>
      </c>
      <c r="P188">
        <v>0.63012000000000001</v>
      </c>
    </row>
    <row r="189" spans="1:16" ht="15.75" x14ac:dyDescent="0.25">
      <c r="A189" s="10">
        <v>32</v>
      </c>
      <c r="B189" s="10" t="s">
        <v>49</v>
      </c>
      <c r="C189" s="13">
        <v>2018</v>
      </c>
      <c r="D189" s="1">
        <v>25034.080000000002</v>
      </c>
      <c r="E189" s="1">
        <v>36468.79</v>
      </c>
      <c r="F189">
        <f t="shared" si="278"/>
        <v>4.3985316357483093</v>
      </c>
      <c r="G189">
        <f t="shared" si="279"/>
        <v>4.5619213540721928</v>
      </c>
      <c r="H189" s="6">
        <v>57.22</v>
      </c>
      <c r="I189" s="6">
        <v>90.77</v>
      </c>
      <c r="J189" s="6">
        <v>86.56</v>
      </c>
      <c r="K189" s="1">
        <v>2276.3000000000002</v>
      </c>
      <c r="L189" s="1">
        <v>67.760000000000005</v>
      </c>
      <c r="M189" s="1">
        <v>1218.8</v>
      </c>
      <c r="N189">
        <f>LOG(M189)</f>
        <v>3.0859324455506361</v>
      </c>
      <c r="O189">
        <v>127.97202</v>
      </c>
      <c r="P189">
        <v>0.63012000000000001</v>
      </c>
    </row>
    <row r="190" spans="1:16" ht="15.75" x14ac:dyDescent="0.25">
      <c r="A190" s="10">
        <v>32</v>
      </c>
      <c r="B190" s="10" t="s">
        <v>49</v>
      </c>
      <c r="C190" s="13">
        <v>2019</v>
      </c>
      <c r="D190" s="1">
        <v>26597.55</v>
      </c>
      <c r="E190" s="1">
        <v>39695.49</v>
      </c>
      <c r="F190">
        <f t="shared" si="278"/>
        <v>4.4248416339812673</v>
      </c>
      <c r="G190">
        <f t="shared" si="279"/>
        <v>4.5987411672322303</v>
      </c>
      <c r="H190" s="6">
        <v>53.61</v>
      </c>
      <c r="I190" s="6">
        <v>92.38</v>
      </c>
      <c r="J190" s="6">
        <v>86.61</v>
      </c>
      <c r="K190" s="1">
        <v>682.7</v>
      </c>
      <c r="L190" s="1">
        <v>68.7</v>
      </c>
      <c r="M190" s="1">
        <v>1235.7</v>
      </c>
      <c r="N190">
        <f>LOG(M190)</f>
        <v>3.0919130466760798</v>
      </c>
      <c r="O190">
        <v>127.97202</v>
      </c>
      <c r="P190">
        <v>0.63012000000000001</v>
      </c>
    </row>
    <row r="191" spans="1:16" ht="15.75" x14ac:dyDescent="0.25">
      <c r="A191" s="10">
        <v>32</v>
      </c>
      <c r="B191" s="10" t="s">
        <v>49</v>
      </c>
      <c r="C191" s="13">
        <v>2020</v>
      </c>
      <c r="D191" s="1">
        <v>28031.439999999999</v>
      </c>
      <c r="E191" s="1">
        <v>42298.87</v>
      </c>
      <c r="F191">
        <f t="shared" si="278"/>
        <v>4.4476454084270856</v>
      </c>
      <c r="G191">
        <f t="shared" si="279"/>
        <v>4.6263287654998733</v>
      </c>
      <c r="H191" s="6">
        <v>50</v>
      </c>
      <c r="I191" s="6">
        <v>92.1</v>
      </c>
      <c r="J191" s="6">
        <v>86.18</v>
      </c>
      <c r="K191" s="1">
        <v>662.1</v>
      </c>
      <c r="L191" s="1">
        <v>68.489999999999995</v>
      </c>
      <c r="M191" s="1">
        <v>1282.9000000000001</v>
      </c>
      <c r="N191">
        <f>LOG(M191)</f>
        <v>3.108192805135042</v>
      </c>
      <c r="O191">
        <v>127.97202</v>
      </c>
      <c r="P191">
        <v>0.63012000000000001</v>
      </c>
    </row>
    <row r="192" spans="1:16" ht="15.75" x14ac:dyDescent="0.25">
      <c r="A192" s="10">
        <v>32</v>
      </c>
      <c r="B192" s="10" t="s">
        <v>49</v>
      </c>
      <c r="C192" s="13">
        <v>2021</v>
      </c>
      <c r="D192" s="1">
        <v>32739.16</v>
      </c>
      <c r="E192" s="1">
        <v>52481.3</v>
      </c>
      <c r="F192">
        <f t="shared" si="278"/>
        <v>4.5150675323744949</v>
      </c>
      <c r="G192">
        <f t="shared" si="279"/>
        <v>4.7200045842912672</v>
      </c>
      <c r="H192" s="6">
        <v>53.08</v>
      </c>
      <c r="I192" s="6">
        <v>91.64</v>
      </c>
      <c r="J192" s="6">
        <v>86.58</v>
      </c>
      <c r="K192" s="1">
        <v>2665.3</v>
      </c>
      <c r="L192" s="1">
        <v>68.760000000000005</v>
      </c>
      <c r="M192" s="1">
        <v>1299.2</v>
      </c>
      <c r="N192">
        <f>LOG(M192)</f>
        <v>3.1136760118971001</v>
      </c>
      <c r="O192">
        <v>127.97202</v>
      </c>
      <c r="P192">
        <v>0.63012000000000001</v>
      </c>
    </row>
    <row r="193" spans="1:16" ht="15.75" x14ac:dyDescent="0.25">
      <c r="A193" s="10">
        <v>32</v>
      </c>
      <c r="B193" s="10" t="s">
        <v>49</v>
      </c>
      <c r="C193" s="13">
        <v>2022</v>
      </c>
      <c r="D193" s="1">
        <v>40248.39</v>
      </c>
      <c r="E193" s="1">
        <v>70902.61</v>
      </c>
      <c r="F193">
        <f t="shared" si="278"/>
        <v>4.6047485125771663</v>
      </c>
      <c r="G193">
        <f t="shared" si="279"/>
        <v>4.8506622223161369</v>
      </c>
      <c r="H193" s="6">
        <v>55.69</v>
      </c>
      <c r="I193" s="6">
        <v>92.74</v>
      </c>
      <c r="J193" s="9">
        <v>86.58</v>
      </c>
      <c r="K193" s="1">
        <v>3414.9</v>
      </c>
      <c r="L193" s="1">
        <v>69.47</v>
      </c>
      <c r="M193" s="1">
        <v>1319.3</v>
      </c>
      <c r="N193">
        <f>LOG(M193)</f>
        <v>3.1203435624380247</v>
      </c>
      <c r="O193">
        <v>127.97202</v>
      </c>
      <c r="P193">
        <v>0.63012000000000001</v>
      </c>
    </row>
    <row r="194" spans="1:16" ht="15.75" x14ac:dyDescent="0.25">
      <c r="A194" s="10">
        <v>33</v>
      </c>
      <c r="B194" s="10" t="s">
        <v>50</v>
      </c>
      <c r="C194" s="13">
        <v>2017</v>
      </c>
      <c r="D194" s="1">
        <v>56907.96</v>
      </c>
      <c r="E194" s="1">
        <v>71785.929999999993</v>
      </c>
      <c r="F194">
        <f t="shared" si="278"/>
        <v>4.7551730175777056</v>
      </c>
      <c r="G194">
        <f t="shared" si="279"/>
        <v>4.8560393311204235</v>
      </c>
      <c r="H194" s="6">
        <v>50</v>
      </c>
      <c r="I194" s="6">
        <v>95.63</v>
      </c>
      <c r="J194" s="6">
        <v>100</v>
      </c>
      <c r="K194" s="1">
        <v>59.2</v>
      </c>
      <c r="L194" s="1">
        <v>62.99</v>
      </c>
      <c r="M194" s="1">
        <v>919.4</v>
      </c>
      <c r="N194">
        <f>LOG(M194)</f>
        <v>2.9635044994142907</v>
      </c>
      <c r="O194">
        <v>132.90253000000001</v>
      </c>
      <c r="P194">
        <v>-1.3842399999999999</v>
      </c>
    </row>
    <row r="195" spans="1:16" ht="15.75" x14ac:dyDescent="0.25">
      <c r="A195" s="10">
        <v>33</v>
      </c>
      <c r="B195" s="10" t="s">
        <v>50</v>
      </c>
      <c r="C195" s="13">
        <v>2018</v>
      </c>
      <c r="D195" s="1">
        <v>60465.52</v>
      </c>
      <c r="E195" s="1">
        <v>79644.58</v>
      </c>
      <c r="F195">
        <f t="shared" si="278"/>
        <v>4.7815077921323992</v>
      </c>
      <c r="G195">
        <f t="shared" si="279"/>
        <v>4.9011562263872008</v>
      </c>
      <c r="H195" s="6">
        <v>50.67</v>
      </c>
      <c r="I195" s="6">
        <v>90.41</v>
      </c>
      <c r="J195" s="6">
        <v>100</v>
      </c>
      <c r="K195" s="1">
        <v>50.9</v>
      </c>
      <c r="L195" s="1">
        <v>63.74</v>
      </c>
      <c r="M195" s="1">
        <v>941.4</v>
      </c>
      <c r="N195">
        <f>LOG(M195)</f>
        <v>2.9737741939705802</v>
      </c>
      <c r="O195">
        <v>132.90253000000001</v>
      </c>
      <c r="P195">
        <v>-1.3842399999999999</v>
      </c>
    </row>
    <row r="196" spans="1:16" ht="15.75" x14ac:dyDescent="0.25">
      <c r="A196" s="10">
        <v>33</v>
      </c>
      <c r="B196" s="10" t="s">
        <v>50</v>
      </c>
      <c r="C196" s="13">
        <v>2019</v>
      </c>
      <c r="D196" s="1">
        <v>62074.52</v>
      </c>
      <c r="E196" s="1">
        <v>84356.97</v>
      </c>
      <c r="F196">
        <f t="shared" si="278"/>
        <v>4.7929133699961177</v>
      </c>
      <c r="G196">
        <f t="shared" si="279"/>
        <v>4.9261209720167987</v>
      </c>
      <c r="H196" s="6">
        <v>53.89</v>
      </c>
      <c r="I196" s="6">
        <v>92.64</v>
      </c>
      <c r="J196" s="6">
        <v>100</v>
      </c>
      <c r="K196" s="1">
        <v>380.2</v>
      </c>
      <c r="L196" s="1">
        <v>64.7</v>
      </c>
      <c r="M196" s="1">
        <v>963.6</v>
      </c>
      <c r="N196">
        <f>LOG(M196)</f>
        <v>2.9838967913263059</v>
      </c>
      <c r="O196">
        <v>132.90253000000001</v>
      </c>
      <c r="P196">
        <v>-1.3842399999999999</v>
      </c>
    </row>
    <row r="197" spans="1:16" ht="15.75" x14ac:dyDescent="0.25">
      <c r="A197" s="10">
        <v>33</v>
      </c>
      <c r="B197" s="10" t="s">
        <v>50</v>
      </c>
      <c r="C197" s="13">
        <v>2020</v>
      </c>
      <c r="D197" s="1">
        <v>61604.13</v>
      </c>
      <c r="E197" s="1">
        <v>83588.639999999999</v>
      </c>
      <c r="F197">
        <f t="shared" si="278"/>
        <v>4.7896098286593176</v>
      </c>
      <c r="G197">
        <f t="shared" si="279"/>
        <v>4.922147259250675</v>
      </c>
      <c r="H197" s="6">
        <v>52.22</v>
      </c>
      <c r="I197" s="6">
        <v>94.83</v>
      </c>
      <c r="J197" s="6">
        <v>100</v>
      </c>
      <c r="K197" s="1">
        <v>1925.4</v>
      </c>
      <c r="L197" s="1">
        <v>65.09</v>
      </c>
      <c r="M197" s="1">
        <v>1134.0999999999999</v>
      </c>
      <c r="N197">
        <f>LOG(M197)</f>
        <v>3.0546513504417416</v>
      </c>
      <c r="O197">
        <v>132.90253000000001</v>
      </c>
      <c r="P197">
        <v>-1.3842399999999999</v>
      </c>
    </row>
    <row r="198" spans="1:16" ht="15.75" x14ac:dyDescent="0.25">
      <c r="A198" s="10">
        <v>33</v>
      </c>
      <c r="B198" s="10" t="s">
        <v>50</v>
      </c>
      <c r="C198" s="13">
        <v>2021</v>
      </c>
      <c r="D198" s="1">
        <v>61289.4</v>
      </c>
      <c r="E198" s="1">
        <v>85078.42</v>
      </c>
      <c r="F198">
        <f t="shared" si="278"/>
        <v>4.7873853697945217</v>
      </c>
      <c r="G198">
        <f t="shared" si="279"/>
        <v>4.9298194159785407</v>
      </c>
      <c r="H198" s="6">
        <v>54.44</v>
      </c>
      <c r="I198" s="6">
        <v>95.6</v>
      </c>
      <c r="J198" s="6">
        <v>100</v>
      </c>
      <c r="K198" s="1">
        <v>635.6</v>
      </c>
      <c r="L198" s="1">
        <v>65.260000000000005</v>
      </c>
      <c r="M198" s="1">
        <v>1156.8</v>
      </c>
      <c r="N198">
        <f>LOG(M198)</f>
        <v>3.0632582799504555</v>
      </c>
      <c r="O198">
        <v>132.90253000000001</v>
      </c>
      <c r="P198">
        <v>-1.3842399999999999</v>
      </c>
    </row>
    <row r="199" spans="1:16" ht="15.75" x14ac:dyDescent="0.25">
      <c r="A199" s="10">
        <v>33</v>
      </c>
      <c r="B199" s="10" t="s">
        <v>50</v>
      </c>
      <c r="C199" s="13">
        <v>2022</v>
      </c>
      <c r="D199" s="1">
        <v>62518.38</v>
      </c>
      <c r="E199" s="1">
        <v>91291.75</v>
      </c>
      <c r="F199">
        <f t="shared" si="278"/>
        <v>4.7960077158894396</v>
      </c>
      <c r="G199">
        <f t="shared" si="279"/>
        <v>4.960431532283863</v>
      </c>
      <c r="H199" s="6">
        <v>62</v>
      </c>
      <c r="I199" s="6">
        <v>95.79</v>
      </c>
      <c r="J199" s="9">
        <v>100</v>
      </c>
      <c r="K199" s="1">
        <v>2139.1</v>
      </c>
      <c r="L199" s="1">
        <v>65.89</v>
      </c>
      <c r="M199" s="1">
        <v>1183.3</v>
      </c>
      <c r="N199">
        <f>LOG(M199)</f>
        <v>3.0730948645157459</v>
      </c>
      <c r="O199">
        <v>132.90253000000001</v>
      </c>
      <c r="P199">
        <v>-1.3842399999999999</v>
      </c>
    </row>
    <row r="200" spans="1:16" ht="15.75" x14ac:dyDescent="0.25">
      <c r="A200" s="10">
        <v>34</v>
      </c>
      <c r="B200" s="10" t="s">
        <v>51</v>
      </c>
      <c r="C200" s="13">
        <v>2017</v>
      </c>
      <c r="D200" s="1">
        <v>148818.29</v>
      </c>
      <c r="E200" s="1">
        <v>188938.08</v>
      </c>
      <c r="F200">
        <f t="shared" si="278"/>
        <v>5.1726563099594252</v>
      </c>
      <c r="G200">
        <f t="shared" si="279"/>
        <v>5.2763194977162708</v>
      </c>
      <c r="H200" s="6">
        <v>62.5</v>
      </c>
      <c r="I200" s="6">
        <v>90.01</v>
      </c>
      <c r="J200" s="6">
        <v>94.85</v>
      </c>
      <c r="K200" s="1">
        <v>1217.9000000000001</v>
      </c>
      <c r="L200" s="1">
        <v>59.09</v>
      </c>
      <c r="M200" s="1">
        <v>3252.2</v>
      </c>
      <c r="N200">
        <f>LOG(M200)</f>
        <v>3.5121772454784734</v>
      </c>
      <c r="O200">
        <v>138.34853000000001</v>
      </c>
      <c r="P200">
        <v>-3.9885700000000002</v>
      </c>
    </row>
    <row r="201" spans="1:16" ht="15.75" x14ac:dyDescent="0.25">
      <c r="A201" s="10">
        <v>34</v>
      </c>
      <c r="B201" s="10" t="s">
        <v>51</v>
      </c>
      <c r="C201" s="13">
        <v>2018</v>
      </c>
      <c r="D201" s="1">
        <v>159711.85</v>
      </c>
      <c r="E201" s="1">
        <v>210600.57</v>
      </c>
      <c r="F201">
        <f t="shared" si="278"/>
        <v>5.2033371403005662</v>
      </c>
      <c r="G201">
        <f t="shared" si="279"/>
        <v>5.3234595422887825</v>
      </c>
      <c r="H201" s="6">
        <v>45</v>
      </c>
      <c r="I201" s="6">
        <v>89.89</v>
      </c>
      <c r="J201" s="6">
        <v>95.94</v>
      </c>
      <c r="K201" s="1">
        <v>104.6</v>
      </c>
      <c r="L201" s="1">
        <v>60.06</v>
      </c>
      <c r="M201" s="1">
        <v>3300.2</v>
      </c>
      <c r="N201">
        <f>LOG(M201)</f>
        <v>3.5185402599580082</v>
      </c>
      <c r="O201">
        <v>138.34853000000001</v>
      </c>
      <c r="P201">
        <v>-3.9885700000000002</v>
      </c>
    </row>
    <row r="202" spans="1:16" ht="15.75" x14ac:dyDescent="0.25">
      <c r="A202" s="10">
        <v>34</v>
      </c>
      <c r="B202" s="10" t="s">
        <v>51</v>
      </c>
      <c r="C202" s="13">
        <v>2019</v>
      </c>
      <c r="D202" s="1">
        <v>134565.89000000001</v>
      </c>
      <c r="E202" s="1">
        <v>189510.7</v>
      </c>
      <c r="F202">
        <f t="shared" si="278"/>
        <v>5.1289349881039215</v>
      </c>
      <c r="G202">
        <f t="shared" si="279"/>
        <v>5.2776337357804382</v>
      </c>
      <c r="H202" s="6">
        <v>47.29</v>
      </c>
      <c r="I202" s="6">
        <v>92.56</v>
      </c>
      <c r="J202" s="6">
        <v>99.58</v>
      </c>
      <c r="K202" s="1">
        <v>567.70000000000005</v>
      </c>
      <c r="L202" s="1">
        <v>60.84</v>
      </c>
      <c r="M202" s="1">
        <v>3347.1</v>
      </c>
      <c r="N202">
        <f>LOG(M202)</f>
        <v>3.5246686877982976</v>
      </c>
      <c r="O202">
        <v>138.34853000000001</v>
      </c>
      <c r="P202">
        <v>-3.9885700000000002</v>
      </c>
    </row>
    <row r="203" spans="1:16" ht="15.75" x14ac:dyDescent="0.25">
      <c r="A203" s="10">
        <v>34</v>
      </c>
      <c r="B203" s="10" t="s">
        <v>51</v>
      </c>
      <c r="C203" s="13">
        <v>2020</v>
      </c>
      <c r="D203" s="1">
        <v>137787.29</v>
      </c>
      <c r="E203" s="1">
        <v>199186.57</v>
      </c>
      <c r="F203">
        <f t="shared" si="278"/>
        <v>5.1392091585190371</v>
      </c>
      <c r="G203">
        <f t="shared" si="279"/>
        <v>5.299260053106174</v>
      </c>
      <c r="H203" s="6">
        <v>55</v>
      </c>
      <c r="I203" s="6">
        <v>94.57</v>
      </c>
      <c r="J203" s="6">
        <v>99.86</v>
      </c>
      <c r="K203" s="1">
        <v>2722.2</v>
      </c>
      <c r="L203" s="1">
        <v>60.44</v>
      </c>
      <c r="M203" s="1">
        <v>4303.7</v>
      </c>
      <c r="N203">
        <f>LOG(M203)</f>
        <v>3.633841990147761</v>
      </c>
      <c r="O203">
        <v>138.34853000000001</v>
      </c>
      <c r="P203">
        <v>-3.9885700000000002</v>
      </c>
    </row>
    <row r="204" spans="1:16" ht="15.75" x14ac:dyDescent="0.25">
      <c r="A204" s="10">
        <v>34</v>
      </c>
      <c r="B204" s="10" t="s">
        <v>51</v>
      </c>
      <c r="C204" s="13">
        <v>2021</v>
      </c>
      <c r="D204" s="1">
        <v>158674.29999999999</v>
      </c>
      <c r="E204" s="1">
        <v>235486.12</v>
      </c>
      <c r="F204">
        <f t="shared" si="278"/>
        <v>5.2005065910773256</v>
      </c>
      <c r="G204">
        <f t="shared" si="279"/>
        <v>5.3719653140761405</v>
      </c>
      <c r="H204" s="6">
        <v>57.83</v>
      </c>
      <c r="I204" s="6">
        <v>94.02</v>
      </c>
      <c r="J204" s="6">
        <v>100</v>
      </c>
      <c r="K204" s="1">
        <v>910.8</v>
      </c>
      <c r="L204" s="1">
        <v>60.62</v>
      </c>
      <c r="M204" s="1">
        <v>4355.5</v>
      </c>
      <c r="N204">
        <f>LOG(M204)</f>
        <v>3.6390380180753712</v>
      </c>
      <c r="O204">
        <v>138.34853000000001</v>
      </c>
      <c r="P204">
        <v>-3.9885700000000002</v>
      </c>
    </row>
    <row r="205" spans="1:16" ht="15.75" x14ac:dyDescent="0.25">
      <c r="A205" s="10">
        <v>34</v>
      </c>
      <c r="B205" s="10" t="s">
        <v>51</v>
      </c>
      <c r="C205" s="13">
        <v>2022</v>
      </c>
      <c r="D205" s="1">
        <v>172904.85</v>
      </c>
      <c r="E205" s="1">
        <v>262515.82</v>
      </c>
      <c r="F205">
        <f t="shared" si="278"/>
        <v>5.2378071754526134</v>
      </c>
      <c r="G205">
        <f t="shared" si="279"/>
        <v>5.4191554804340889</v>
      </c>
      <c r="H205" s="6">
        <v>55.07</v>
      </c>
      <c r="I205" s="6">
        <v>95.32</v>
      </c>
      <c r="J205" s="9">
        <v>100</v>
      </c>
      <c r="K205" s="1">
        <v>1311.8</v>
      </c>
      <c r="L205" s="1">
        <v>61.39</v>
      </c>
      <c r="M205" s="1">
        <v>4418.6000000000004</v>
      </c>
      <c r="N205">
        <f>LOG(M205)</f>
        <v>3.6452846882209156</v>
      </c>
      <c r="O205">
        <v>138.34853000000001</v>
      </c>
      <c r="P205">
        <v>-3.9885700000000002</v>
      </c>
    </row>
  </sheetData>
  <conditionalFormatting sqref="A170:A205">
    <cfRule type="duplicateValues" dxfId="1" priority="2"/>
  </conditionalFormatting>
  <conditionalFormatting sqref="B170:B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F20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2023-11-21T07:07:30Z</dcterms:created>
  <dcterms:modified xsi:type="dcterms:W3CDTF">2024-01-29T09:18:37Z</dcterms:modified>
</cp:coreProperties>
</file>