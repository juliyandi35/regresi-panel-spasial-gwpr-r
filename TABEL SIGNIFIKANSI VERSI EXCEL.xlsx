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e37ddca4e3c9d/Dokumen/"/>
    </mc:Choice>
  </mc:AlternateContent>
  <xr:revisionPtr revIDLastSave="0" documentId="8_{3AB94E55-CDD5-4CBC-9CAB-8C77B296EAF7}" xr6:coauthVersionLast="47" xr6:coauthVersionMax="47" xr10:uidLastSave="{00000000-0000-0000-0000-000000000000}"/>
  <bookViews>
    <workbookView xWindow="-110" yWindow="-110" windowWidth="19420" windowHeight="10300" xr2:uid="{1784AE72-2F83-4004-83D8-F5BE2F2A7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1" i="1" l="1"/>
</calcChain>
</file>

<file path=xl/sharedStrings.xml><?xml version="1.0" encoding="utf-8"?>
<sst xmlns="http://schemas.openxmlformats.org/spreadsheetml/2006/main" count="925" uniqueCount="130">
  <si>
    <t>PROVINSI</t>
  </si>
  <si>
    <t>VARIABEL</t>
  </si>
  <si>
    <t>COEFISIEN</t>
  </si>
  <si>
    <t>STANDART ERROR</t>
  </si>
  <si>
    <t>T-VALUE</t>
  </si>
  <si>
    <t>KETERANGAN</t>
  </si>
  <si>
    <t xml:space="preserve">BALI= </t>
  </si>
  <si>
    <t>IKA, IKTL, INV, HDI, JP</t>
  </si>
  <si>
    <t>HDI=</t>
  </si>
  <si>
    <t>JABAR</t>
  </si>
  <si>
    <t>ACEH</t>
  </si>
  <si>
    <t>IKA</t>
  </si>
  <si>
    <t>Tidak Signifikan</t>
  </si>
  <si>
    <t>BALI</t>
  </si>
  <si>
    <t>Signifikan</t>
  </si>
  <si>
    <t xml:space="preserve">BANTEN; </t>
  </si>
  <si>
    <t>HDI, JP</t>
  </si>
  <si>
    <t>HDI, JP=</t>
  </si>
  <si>
    <t>BANTEN, NTT, RIAU</t>
  </si>
  <si>
    <t>IKU</t>
  </si>
  <si>
    <t>IKTL</t>
  </si>
  <si>
    <t>BENGKULU=</t>
  </si>
  <si>
    <t>IKTL, INV,HDI, JP</t>
  </si>
  <si>
    <t>IKA=</t>
  </si>
  <si>
    <t>NTB</t>
  </si>
  <si>
    <t>INV</t>
  </si>
  <si>
    <t xml:space="preserve">DKI= </t>
  </si>
  <si>
    <t xml:space="preserve">IKA,HDI,JP= </t>
  </si>
  <si>
    <t>DIY</t>
  </si>
  <si>
    <t>HDI</t>
  </si>
  <si>
    <t xml:space="preserve">GORONTALO= </t>
  </si>
  <si>
    <t>JP</t>
  </si>
  <si>
    <t>IKA,IKTL,INV=</t>
  </si>
  <si>
    <t>PAPUA BARAT</t>
  </si>
  <si>
    <t xml:space="preserve">JAMBI= </t>
  </si>
  <si>
    <t>IKA, IKU, JP</t>
  </si>
  <si>
    <t>IKA,IKTL,INV,HDI,JP=</t>
  </si>
  <si>
    <t>BANTEN</t>
  </si>
  <si>
    <t xml:space="preserve">JABAR= </t>
  </si>
  <si>
    <t>IKA,IKU,IKTL,INV=</t>
  </si>
  <si>
    <t>KALIMANTAN BARAT, SULAWESI TENGGARA</t>
  </si>
  <si>
    <t>JATENG=</t>
  </si>
  <si>
    <t xml:space="preserve"> INV</t>
  </si>
  <si>
    <t>IKA,IKU,IKTL,INV, HDI,JP=</t>
  </si>
  <si>
    <t>MALUKU UTARA</t>
  </si>
  <si>
    <t>BENGKULU</t>
  </si>
  <si>
    <t xml:space="preserve">JATIM= </t>
  </si>
  <si>
    <t>IKA,IKU,JP=</t>
  </si>
  <si>
    <t>JAMBI</t>
  </si>
  <si>
    <t>KALBAR=</t>
  </si>
  <si>
    <t>IKA, IKU, IKTL, INV</t>
  </si>
  <si>
    <t>IKA,INV, HDI,JP=</t>
  </si>
  <si>
    <t>KALIMANTAN SELATAN</t>
  </si>
  <si>
    <t>KALSEL=</t>
  </si>
  <si>
    <t>IKA, INV,HDI,JP</t>
  </si>
  <si>
    <t>IKA,JP=</t>
  </si>
  <si>
    <t>KALIMANTAN TENGAH</t>
  </si>
  <si>
    <t xml:space="preserve">KALTENG= </t>
  </si>
  <si>
    <t>IKA, JP</t>
  </si>
  <si>
    <t>IKTL=</t>
  </si>
  <si>
    <t>SULAWESI SELATAN</t>
  </si>
  <si>
    <t>DKI JAKARTA</t>
  </si>
  <si>
    <t xml:space="preserve">KALTIM= </t>
  </si>
  <si>
    <t>IKU, JP</t>
  </si>
  <si>
    <t>IKTL,INV,JP=</t>
  </si>
  <si>
    <t>GORONTALO</t>
  </si>
  <si>
    <t>KALUT=</t>
  </si>
  <si>
    <t>IKTL,INV,HDI,JP=</t>
  </si>
  <si>
    <t>KEPBABEL=</t>
  </si>
  <si>
    <t>IKU=</t>
  </si>
  <si>
    <t>KEPULAUAN RIAU</t>
  </si>
  <si>
    <t>KEPRI=</t>
  </si>
  <si>
    <t>IKU,IKTL,INV=</t>
  </si>
  <si>
    <t>SULAWESI BARAT</t>
  </si>
  <si>
    <t>LAMPUNG=</t>
  </si>
  <si>
    <t>IKU,JP=</t>
  </si>
  <si>
    <t>KALIMANTAN TIMUR</t>
  </si>
  <si>
    <t>JAWA BARAT</t>
  </si>
  <si>
    <t>MALUKU=</t>
  </si>
  <si>
    <t>IKTL, INV, JP</t>
  </si>
  <si>
    <t>INV=</t>
  </si>
  <si>
    <t>LAMPUNG, DKI, JATENG, JATM</t>
  </si>
  <si>
    <t>JAWA TENGAH</t>
  </si>
  <si>
    <t xml:space="preserve">MALUKU UTARA= </t>
  </si>
  <si>
    <t>IKA, IKU, IKTL, INV, HDI, JP</t>
  </si>
  <si>
    <t>JP=</t>
  </si>
  <si>
    <t>GORONTALO, KALIMANTAN UTARA,PAPUA, SULAWESI TENGAH, SULAWESI UTARA, KEPULAUAN BANGKA BELITUNG</t>
  </si>
  <si>
    <t>JAWA TIMUR</t>
  </si>
  <si>
    <t>NTB=</t>
  </si>
  <si>
    <t>TIDAK SIGNIFIKAN=</t>
  </si>
  <si>
    <t>ACEH, SULAWESI SELATAN,SUMATERA BARAT,SUMATERA UTARA</t>
  </si>
  <si>
    <t>KALIMANTAN BARAT</t>
  </si>
  <si>
    <t>NTT=</t>
  </si>
  <si>
    <t>PAPUA=</t>
  </si>
  <si>
    <t>PAPBAR=</t>
  </si>
  <si>
    <t>IKA, IKTL, INV</t>
  </si>
  <si>
    <t xml:space="preserve">RIAU= </t>
  </si>
  <si>
    <t>HDI,JP</t>
  </si>
  <si>
    <t>KALIMANTAN SELATAN</t>
  </si>
  <si>
    <t>SULBAR=</t>
  </si>
  <si>
    <t>IKU, IKTL, INV</t>
  </si>
  <si>
    <t>SULTENGAH=</t>
  </si>
  <si>
    <t xml:space="preserve"> JP</t>
  </si>
  <si>
    <t xml:space="preserve">SULTENGGARA= </t>
  </si>
  <si>
    <t>SULUT=</t>
  </si>
  <si>
    <t>KALIMANTAN TENGAH</t>
  </si>
  <si>
    <t>SULSEL=</t>
  </si>
  <si>
    <t>DIY=</t>
  </si>
  <si>
    <t>IKA, HDI, JP</t>
  </si>
  <si>
    <t>KALIMANTAN TIMUR</t>
  </si>
  <si>
    <t>KALIMANTAN UTARA</t>
  </si>
  <si>
    <t>KEPULAUAN BANGKA BELITUNG</t>
  </si>
  <si>
    <t>KEPULAUAN RIAU</t>
  </si>
  <si>
    <t>LAMPUNG</t>
  </si>
  <si>
    <t>MALUKU</t>
  </si>
  <si>
    <t>MALUKU UTARA</t>
  </si>
  <si>
    <t>NUSA TENGGARA BARAT</t>
  </si>
  <si>
    <t>NUSA TENGGARA TIMUR</t>
  </si>
  <si>
    <t>PAPUA</t>
  </si>
  <si>
    <t>PAPUA BARAT</t>
  </si>
  <si>
    <t>RIAU</t>
  </si>
  <si>
    <t>SULAWESI BARAT</t>
  </si>
  <si>
    <t>SULAWESI TENGAH</t>
  </si>
  <si>
    <t>SULAWESI TENGGARA</t>
  </si>
  <si>
    <t>SULAWESI UTARA</t>
  </si>
  <si>
    <t>SUMATERA SELATAN</t>
  </si>
  <si>
    <t>YOGYAKARTA</t>
  </si>
  <si>
    <t>SULAWESI SELATAN</t>
  </si>
  <si>
    <t>SUMATERA BARAT</t>
  </si>
  <si>
    <t>SUMATERA 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</si>
</sst>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Segoe UI"/>
      <family val="2"/>
    </font>
    <font>
      <b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5D99-1FDA-4A8B-86DD-478A64CE63E9}">
  <dimension ref="A1:AC205"/>
  <sheetViews>
    <sheetView tabSelected="1" workbookViewId="0">
      <selection sqref="A1:AK209"/>
    </sheetView>
  </sheetViews>
  <sheetFormatPr defaultRowHeight="14.5" x14ac:dyDescent="0.35"/>
  <sheetData>
    <row r="1" spans="1: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K1" s="1" t="s">
        <v>0</v>
      </c>
      <c r="L1" s="1" t="s">
        <v>1</v>
      </c>
      <c r="M1" s="2" t="s">
        <v>2</v>
      </c>
      <c r="N1" s="2" t="s">
        <v>3</v>
      </c>
      <c r="O1" s="2" t="s">
        <v>4</v>
      </c>
      <c r="P1" s="2" t="s">
        <v>5</v>
      </c>
      <c r="S1" t="s">
        <v>6</v>
      </c>
      <c r="T1" t="s">
        <v>7</v>
      </c>
      <c r="X1" t="s">
        <v>8</v>
      </c>
      <c r="Y1" t="s">
        <v>9</v>
      </c>
      <c r="AC1">
        <v>1</v>
      </c>
    </row>
    <row r="2" spans="1:29" x14ac:dyDescent="0.35">
      <c r="A2" s="3" t="s">
        <v>10</v>
      </c>
      <c r="B2" s="4" t="s">
        <v>11</v>
      </c>
      <c r="C2" s="5">
        <v>217.38389162455371</v>
      </c>
      <c r="D2" s="5">
        <v>2082.5315246838668</v>
      </c>
      <c r="E2" s="5">
        <v>0.1043844422271366</v>
      </c>
      <c r="F2" s="5" t="s">
        <v>12</v>
      </c>
      <c r="G2" s="5"/>
      <c r="K2" s="6" t="s">
        <v>13</v>
      </c>
      <c r="L2" s="7" t="s">
        <v>11</v>
      </c>
      <c r="M2">
        <v>3711.8145733908291</v>
      </c>
      <c r="N2">
        <v>1017.9360612131881</v>
      </c>
      <c r="O2">
        <v>3.646412299184139</v>
      </c>
      <c r="P2" t="s">
        <v>14</v>
      </c>
      <c r="S2" t="s">
        <v>15</v>
      </c>
      <c r="T2" t="s">
        <v>16</v>
      </c>
      <c r="X2" t="s">
        <v>17</v>
      </c>
      <c r="Y2" t="s">
        <v>18</v>
      </c>
      <c r="AC2">
        <v>3</v>
      </c>
    </row>
    <row r="3" spans="1:29" x14ac:dyDescent="0.35">
      <c r="A3" s="3" t="s">
        <v>10</v>
      </c>
      <c r="B3" s="4" t="s">
        <v>19</v>
      </c>
      <c r="C3" s="5">
        <v>-5275.8566714700983</v>
      </c>
      <c r="D3" s="5">
        <v>14089.806434197641</v>
      </c>
      <c r="E3" s="5">
        <v>-0.37444493621040559</v>
      </c>
      <c r="F3" s="5" t="s">
        <v>12</v>
      </c>
      <c r="G3" s="5"/>
      <c r="K3" s="6" t="s">
        <v>13</v>
      </c>
      <c r="L3" s="7" t="s">
        <v>20</v>
      </c>
      <c r="M3">
        <v>11616.008331475939</v>
      </c>
      <c r="N3">
        <v>3965.257163795528</v>
      </c>
      <c r="O3">
        <v>2.9294464019975792</v>
      </c>
      <c r="P3" t="s">
        <v>14</v>
      </c>
      <c r="S3" t="s">
        <v>21</v>
      </c>
      <c r="T3" t="s">
        <v>22</v>
      </c>
      <c r="X3" t="s">
        <v>23</v>
      </c>
      <c r="Y3" t="s">
        <v>24</v>
      </c>
      <c r="AC3">
        <v>1</v>
      </c>
    </row>
    <row r="4" spans="1:29" x14ac:dyDescent="0.35">
      <c r="A4" s="3" t="s">
        <v>10</v>
      </c>
      <c r="B4" s="4" t="s">
        <v>20</v>
      </c>
      <c r="C4" s="5">
        <v>2291.490397977037</v>
      </c>
      <c r="D4" s="5">
        <v>10763.40456824152</v>
      </c>
      <c r="E4" s="5">
        <v>0.21289642914085971</v>
      </c>
      <c r="F4" s="5" t="s">
        <v>12</v>
      </c>
      <c r="G4" s="5"/>
      <c r="K4" s="6" t="s">
        <v>13</v>
      </c>
      <c r="L4" s="7" t="s">
        <v>25</v>
      </c>
      <c r="M4">
        <v>1.6406027461460639</v>
      </c>
      <c r="N4">
        <v>0.56730880971520714</v>
      </c>
      <c r="O4">
        <v>2.8919042293202848</v>
      </c>
      <c r="P4" t="s">
        <v>14</v>
      </c>
      <c r="S4" t="s">
        <v>26</v>
      </c>
      <c r="T4" t="s">
        <v>25</v>
      </c>
      <c r="X4" t="s">
        <v>27</v>
      </c>
      <c r="Y4" t="s">
        <v>28</v>
      </c>
      <c r="AC4">
        <v>1</v>
      </c>
    </row>
    <row r="5" spans="1:29" x14ac:dyDescent="0.35">
      <c r="A5" s="3" t="s">
        <v>10</v>
      </c>
      <c r="B5" s="4" t="s">
        <v>25</v>
      </c>
      <c r="C5" s="5">
        <v>0.31009644800614961</v>
      </c>
      <c r="D5" s="5">
        <v>2.7506129563141619</v>
      </c>
      <c r="E5" s="5">
        <v>0.11273721637001261</v>
      </c>
      <c r="F5" s="5" t="s">
        <v>12</v>
      </c>
      <c r="G5" s="5"/>
      <c r="K5" s="6" t="s">
        <v>13</v>
      </c>
      <c r="L5" s="7" t="s">
        <v>29</v>
      </c>
      <c r="M5">
        <v>-118389.1354865008</v>
      </c>
      <c r="N5">
        <v>35426.616938729007</v>
      </c>
      <c r="O5">
        <v>-3.3418131821973569</v>
      </c>
      <c r="P5" t="s">
        <v>14</v>
      </c>
      <c r="S5" t="s">
        <v>30</v>
      </c>
      <c r="T5" t="s">
        <v>31</v>
      </c>
      <c r="X5" t="s">
        <v>32</v>
      </c>
      <c r="Y5" t="s">
        <v>33</v>
      </c>
      <c r="AC5">
        <v>1</v>
      </c>
    </row>
    <row r="6" spans="1:29" x14ac:dyDescent="0.35">
      <c r="A6" s="3" t="s">
        <v>10</v>
      </c>
      <c r="B6" s="4" t="s">
        <v>29</v>
      </c>
      <c r="C6" s="5">
        <v>-36737.535880199182</v>
      </c>
      <c r="D6" s="5">
        <v>111956.16985932671</v>
      </c>
      <c r="E6" s="5">
        <v>-0.328142128534408</v>
      </c>
      <c r="F6" s="5" t="s">
        <v>12</v>
      </c>
      <c r="G6" s="5"/>
      <c r="K6" s="6" t="s">
        <v>13</v>
      </c>
      <c r="L6" s="7" t="s">
        <v>31</v>
      </c>
      <c r="M6">
        <v>-22.293685092196359</v>
      </c>
      <c r="N6">
        <v>11.14802981616144</v>
      </c>
      <c r="O6">
        <v>-1.9997869991231021</v>
      </c>
      <c r="P6" t="s">
        <v>14</v>
      </c>
      <c r="S6" t="s">
        <v>34</v>
      </c>
      <c r="T6" t="s">
        <v>35</v>
      </c>
      <c r="X6" t="s">
        <v>36</v>
      </c>
      <c r="Y6" t="s">
        <v>13</v>
      </c>
      <c r="AC6">
        <v>1</v>
      </c>
    </row>
    <row r="7" spans="1:29" x14ac:dyDescent="0.35">
      <c r="A7" s="3" t="s">
        <v>10</v>
      </c>
      <c r="B7" s="4" t="s">
        <v>31</v>
      </c>
      <c r="C7" s="5">
        <v>-4.8721648597730454</v>
      </c>
      <c r="D7" s="5">
        <v>22.88798851420669</v>
      </c>
      <c r="E7" s="5">
        <v>-0.2128699451569922</v>
      </c>
      <c r="F7" s="5" t="s">
        <v>12</v>
      </c>
      <c r="G7" s="5"/>
      <c r="K7" s="6" t="s">
        <v>37</v>
      </c>
      <c r="L7" s="7" t="s">
        <v>20</v>
      </c>
      <c r="M7">
        <v>2866.0150578063071</v>
      </c>
      <c r="N7">
        <v>1340.8102218751869</v>
      </c>
      <c r="O7">
        <v>2.1375247675230642</v>
      </c>
      <c r="P7" t="s">
        <v>14</v>
      </c>
      <c r="S7" t="s">
        <v>38</v>
      </c>
      <c r="T7" t="s">
        <v>29</v>
      </c>
      <c r="X7" t="s">
        <v>39</v>
      </c>
      <c r="Y7" t="s">
        <v>40</v>
      </c>
      <c r="AC7">
        <v>2</v>
      </c>
    </row>
    <row r="8" spans="1:29" x14ac:dyDescent="0.35">
      <c r="A8" s="6" t="s">
        <v>13</v>
      </c>
      <c r="B8" s="7" t="s">
        <v>11</v>
      </c>
      <c r="C8">
        <v>3711.8145733908291</v>
      </c>
      <c r="D8">
        <v>1017.9360612131881</v>
      </c>
      <c r="E8">
        <v>3.646412299184139</v>
      </c>
      <c r="F8" t="s">
        <v>14</v>
      </c>
      <c r="K8" s="6" t="s">
        <v>37</v>
      </c>
      <c r="L8" s="7" t="s">
        <v>31</v>
      </c>
      <c r="M8">
        <v>-4.2643107486613356</v>
      </c>
      <c r="N8">
        <v>1.7383054620918019</v>
      </c>
      <c r="O8">
        <v>-2.4531423513620259</v>
      </c>
      <c r="P8" t="s">
        <v>14</v>
      </c>
      <c r="S8" t="s">
        <v>41</v>
      </c>
      <c r="T8" t="s">
        <v>42</v>
      </c>
      <c r="X8" t="s">
        <v>43</v>
      </c>
      <c r="Y8" t="s">
        <v>44</v>
      </c>
      <c r="AC8">
        <v>1</v>
      </c>
    </row>
    <row r="9" spans="1:29" x14ac:dyDescent="0.35">
      <c r="A9" s="6" t="s">
        <v>13</v>
      </c>
      <c r="B9" s="4" t="s">
        <v>19</v>
      </c>
      <c r="C9" s="5">
        <v>2360.274039852959</v>
      </c>
      <c r="D9" s="5">
        <v>1505.771066683141</v>
      </c>
      <c r="E9" s="5">
        <v>1.567485318370532</v>
      </c>
      <c r="F9" s="5" t="s">
        <v>12</v>
      </c>
      <c r="G9" s="5"/>
      <c r="K9" s="6" t="s">
        <v>45</v>
      </c>
      <c r="L9" s="7" t="s">
        <v>20</v>
      </c>
      <c r="M9">
        <v>8605.9616970363913</v>
      </c>
      <c r="N9">
        <v>20.434063635668672</v>
      </c>
      <c r="O9">
        <v>421.15762437062489</v>
      </c>
      <c r="P9" t="s">
        <v>14</v>
      </c>
      <c r="S9" t="s">
        <v>46</v>
      </c>
      <c r="T9" t="s">
        <v>25</v>
      </c>
      <c r="X9" t="s">
        <v>47</v>
      </c>
      <c r="Y9" t="s">
        <v>48</v>
      </c>
      <c r="AC9">
        <v>1</v>
      </c>
    </row>
    <row r="10" spans="1:29" x14ac:dyDescent="0.35">
      <c r="A10" s="6" t="s">
        <v>13</v>
      </c>
      <c r="B10" s="7" t="s">
        <v>20</v>
      </c>
      <c r="C10">
        <v>11616.008331475939</v>
      </c>
      <c r="D10">
        <v>3965.257163795528</v>
      </c>
      <c r="E10">
        <v>2.9294464019975792</v>
      </c>
      <c r="F10" t="s">
        <v>14</v>
      </c>
      <c r="K10" s="6" t="s">
        <v>45</v>
      </c>
      <c r="L10" s="7" t="s">
        <v>25</v>
      </c>
      <c r="M10">
        <v>1.4195924551624839</v>
      </c>
      <c r="N10">
        <v>0.1079483568404562</v>
      </c>
      <c r="O10">
        <v>13.150662934690059</v>
      </c>
      <c r="P10" t="s">
        <v>14</v>
      </c>
      <c r="S10" t="s">
        <v>49</v>
      </c>
      <c r="T10" t="s">
        <v>50</v>
      </c>
      <c r="X10" t="s">
        <v>51</v>
      </c>
      <c r="Y10" t="s">
        <v>52</v>
      </c>
      <c r="AC10">
        <v>1</v>
      </c>
    </row>
    <row r="11" spans="1:29" x14ac:dyDescent="0.35">
      <c r="A11" s="6" t="s">
        <v>13</v>
      </c>
      <c r="B11" s="7" t="s">
        <v>25</v>
      </c>
      <c r="C11">
        <v>1.6406027461460639</v>
      </c>
      <c r="D11">
        <v>0.56730880971520714</v>
      </c>
      <c r="E11">
        <v>2.8919042293202848</v>
      </c>
      <c r="F11" t="s">
        <v>14</v>
      </c>
      <c r="K11" s="6" t="s">
        <v>45</v>
      </c>
      <c r="L11" s="7" t="s">
        <v>29</v>
      </c>
      <c r="M11">
        <v>28176.684652369069</v>
      </c>
      <c r="N11">
        <v>443.17608017793822</v>
      </c>
      <c r="O11">
        <v>63.578983416830489</v>
      </c>
      <c r="P11" t="s">
        <v>14</v>
      </c>
      <c r="S11" t="s">
        <v>53</v>
      </c>
      <c r="T11" t="s">
        <v>54</v>
      </c>
      <c r="X11" t="s">
        <v>55</v>
      </c>
      <c r="Y11" t="s">
        <v>56</v>
      </c>
      <c r="AC11">
        <v>1</v>
      </c>
    </row>
    <row r="12" spans="1:29" x14ac:dyDescent="0.35">
      <c r="A12" s="6" t="s">
        <v>13</v>
      </c>
      <c r="B12" s="7" t="s">
        <v>29</v>
      </c>
      <c r="C12">
        <v>-118389.1354865008</v>
      </c>
      <c r="D12">
        <v>35426.616938729007</v>
      </c>
      <c r="E12">
        <v>-3.3418131821973569</v>
      </c>
      <c r="F12" t="s">
        <v>14</v>
      </c>
      <c r="K12" s="6" t="s">
        <v>45</v>
      </c>
      <c r="L12" s="7" t="s">
        <v>31</v>
      </c>
      <c r="M12">
        <v>7.7518895396404366</v>
      </c>
      <c r="N12">
        <v>3.300249897874719</v>
      </c>
      <c r="O12">
        <v>2.348879563524104</v>
      </c>
      <c r="P12" t="s">
        <v>14</v>
      </c>
      <c r="S12" t="s">
        <v>57</v>
      </c>
      <c r="T12" t="s">
        <v>58</v>
      </c>
      <c r="X12" t="s">
        <v>59</v>
      </c>
      <c r="Y12" t="s">
        <v>60</v>
      </c>
      <c r="AC12">
        <v>1</v>
      </c>
    </row>
    <row r="13" spans="1:29" x14ac:dyDescent="0.35">
      <c r="A13" s="6" t="s">
        <v>13</v>
      </c>
      <c r="B13" s="7" t="s">
        <v>31</v>
      </c>
      <c r="C13">
        <v>-22.293685092196359</v>
      </c>
      <c r="D13">
        <v>11.14802981616144</v>
      </c>
      <c r="E13">
        <v>-1.9997869991231021</v>
      </c>
      <c r="F13" t="s">
        <v>14</v>
      </c>
      <c r="K13" s="6" t="s">
        <v>61</v>
      </c>
      <c r="L13" s="7" t="s">
        <v>25</v>
      </c>
      <c r="M13">
        <v>2.608904671392311</v>
      </c>
      <c r="N13">
        <v>1.04406389927023</v>
      </c>
      <c r="O13">
        <v>2.4987978927495331</v>
      </c>
      <c r="P13" t="s">
        <v>14</v>
      </c>
      <c r="S13" t="s">
        <v>62</v>
      </c>
      <c r="T13" t="s">
        <v>63</v>
      </c>
      <c r="X13" t="s">
        <v>64</v>
      </c>
      <c r="Y13" t="s">
        <v>44</v>
      </c>
      <c r="AC13">
        <v>1</v>
      </c>
    </row>
    <row r="14" spans="1:29" x14ac:dyDescent="0.35">
      <c r="A14" s="6" t="s">
        <v>37</v>
      </c>
      <c r="B14" s="4" t="s">
        <v>11</v>
      </c>
      <c r="C14" s="5">
        <v>150.34494770721591</v>
      </c>
      <c r="D14" s="5">
        <v>728.79866971849378</v>
      </c>
      <c r="E14" s="5">
        <v>0.2062914683492606</v>
      </c>
      <c r="F14" s="5" t="s">
        <v>12</v>
      </c>
      <c r="G14" s="5"/>
      <c r="K14" s="6" t="s">
        <v>65</v>
      </c>
      <c r="L14" s="7" t="s">
        <v>31</v>
      </c>
      <c r="M14">
        <v>-3.5282461128940712</v>
      </c>
      <c r="N14">
        <v>1.489770658351901</v>
      </c>
      <c r="O14">
        <v>-2.3683149437224702</v>
      </c>
      <c r="P14" t="s">
        <v>14</v>
      </c>
      <c r="S14" t="s">
        <v>66</v>
      </c>
      <c r="T14" t="s">
        <v>31</v>
      </c>
      <c r="X14" t="s">
        <v>67</v>
      </c>
      <c r="Y14" t="s">
        <v>45</v>
      </c>
      <c r="AC14">
        <v>1</v>
      </c>
    </row>
    <row r="15" spans="1:29" x14ac:dyDescent="0.35">
      <c r="A15" s="6" t="s">
        <v>37</v>
      </c>
      <c r="B15" s="4" t="s">
        <v>19</v>
      </c>
      <c r="C15" s="5">
        <v>2276.6276015395579</v>
      </c>
      <c r="D15" s="5">
        <v>1894.8519989475019</v>
      </c>
      <c r="E15" s="5">
        <v>1.2014804337246989</v>
      </c>
      <c r="F15" s="5" t="s">
        <v>12</v>
      </c>
      <c r="G15" s="5"/>
      <c r="K15" s="6" t="s">
        <v>48</v>
      </c>
      <c r="L15" s="7" t="s">
        <v>11</v>
      </c>
      <c r="M15">
        <v>-337.16406664916241</v>
      </c>
      <c r="N15">
        <v>113.92662600861971</v>
      </c>
      <c r="O15">
        <v>-2.9594843493710812</v>
      </c>
      <c r="P15" t="s">
        <v>14</v>
      </c>
      <c r="S15" t="s">
        <v>68</v>
      </c>
      <c r="T15" t="s">
        <v>31</v>
      </c>
      <c r="X15" t="s">
        <v>69</v>
      </c>
      <c r="Y15" t="s">
        <v>70</v>
      </c>
      <c r="AC15">
        <v>1</v>
      </c>
    </row>
    <row r="16" spans="1:29" x14ac:dyDescent="0.35">
      <c r="A16" s="6" t="s">
        <v>37</v>
      </c>
      <c r="B16" s="7" t="s">
        <v>20</v>
      </c>
      <c r="C16">
        <v>2866.0150578063071</v>
      </c>
      <c r="D16">
        <v>1340.8102218751869</v>
      </c>
      <c r="E16">
        <v>2.1375247675230642</v>
      </c>
      <c r="F16" t="s">
        <v>14</v>
      </c>
      <c r="K16" s="6" t="s">
        <v>48</v>
      </c>
      <c r="L16" s="7" t="s">
        <v>19</v>
      </c>
      <c r="M16">
        <v>-319.02264143141502</v>
      </c>
      <c r="N16">
        <v>70.280058530041202</v>
      </c>
      <c r="O16">
        <v>-4.5393052894947266</v>
      </c>
      <c r="P16" t="s">
        <v>14</v>
      </c>
      <c r="S16" t="s">
        <v>71</v>
      </c>
      <c r="T16" t="s">
        <v>19</v>
      </c>
      <c r="X16" t="s">
        <v>72</v>
      </c>
      <c r="Y16" t="s">
        <v>73</v>
      </c>
      <c r="AC16">
        <v>1</v>
      </c>
    </row>
    <row r="17" spans="1:29" x14ac:dyDescent="0.35">
      <c r="A17" s="6" t="s">
        <v>37</v>
      </c>
      <c r="B17" s="4" t="s">
        <v>25</v>
      </c>
      <c r="C17" s="5">
        <v>0.73202163511465534</v>
      </c>
      <c r="D17" s="5">
        <v>0.74695480372123524</v>
      </c>
      <c r="E17" s="5">
        <v>0.98000793551070997</v>
      </c>
      <c r="F17" s="5" t="s">
        <v>12</v>
      </c>
      <c r="G17" s="5"/>
      <c r="K17" s="6" t="s">
        <v>48</v>
      </c>
      <c r="L17" s="7" t="s">
        <v>31</v>
      </c>
      <c r="M17">
        <v>-0.48415186605804389</v>
      </c>
      <c r="N17">
        <v>0.235325326714002</v>
      </c>
      <c r="O17">
        <v>-2.0573725438675301</v>
      </c>
      <c r="P17" t="s">
        <v>14</v>
      </c>
      <c r="S17" t="s">
        <v>74</v>
      </c>
      <c r="T17" t="s">
        <v>25</v>
      </c>
      <c r="X17" t="s">
        <v>75</v>
      </c>
      <c r="Y17" t="s">
        <v>76</v>
      </c>
      <c r="AC17">
        <v>1</v>
      </c>
    </row>
    <row r="18" spans="1:29" x14ac:dyDescent="0.35">
      <c r="A18" s="6" t="s">
        <v>37</v>
      </c>
      <c r="B18" s="4" t="s">
        <v>29</v>
      </c>
      <c r="C18" s="5">
        <v>5407.6211976969453</v>
      </c>
      <c r="D18" s="5">
        <v>32448.92417496939</v>
      </c>
      <c r="E18" s="5">
        <v>0.1666502460463174</v>
      </c>
      <c r="F18" s="5" t="s">
        <v>12</v>
      </c>
      <c r="G18" s="5"/>
      <c r="K18" s="6" t="s">
        <v>77</v>
      </c>
      <c r="L18" s="7" t="s">
        <v>29</v>
      </c>
      <c r="M18">
        <v>-25110.238911267221</v>
      </c>
      <c r="N18">
        <v>10145.592682408649</v>
      </c>
      <c r="O18">
        <v>-2.4749898500070509</v>
      </c>
      <c r="P18" t="s">
        <v>14</v>
      </c>
      <c r="S18" t="s">
        <v>78</v>
      </c>
      <c r="T18" t="s">
        <v>79</v>
      </c>
      <c r="X18" t="s">
        <v>80</v>
      </c>
      <c r="Y18" t="s">
        <v>81</v>
      </c>
      <c r="AC18">
        <v>6</v>
      </c>
    </row>
    <row r="19" spans="1:29" x14ac:dyDescent="0.35">
      <c r="A19" s="6" t="s">
        <v>37</v>
      </c>
      <c r="B19" s="7" t="s">
        <v>31</v>
      </c>
      <c r="C19">
        <v>-4.2643107486613356</v>
      </c>
      <c r="D19">
        <v>1.7383054620918019</v>
      </c>
      <c r="E19">
        <v>-2.4531423513620259</v>
      </c>
      <c r="F19" t="s">
        <v>14</v>
      </c>
      <c r="K19" s="6" t="s">
        <v>82</v>
      </c>
      <c r="L19" s="7" t="s">
        <v>25</v>
      </c>
      <c r="M19">
        <v>2.6768906647369528</v>
      </c>
      <c r="N19">
        <v>1.083735415164925</v>
      </c>
      <c r="O19">
        <v>2.4700592296594639</v>
      </c>
      <c r="P19" t="s">
        <v>14</v>
      </c>
      <c r="S19" t="s">
        <v>83</v>
      </c>
      <c r="T19" t="s">
        <v>84</v>
      </c>
      <c r="X19" t="s">
        <v>85</v>
      </c>
      <c r="Y19" t="s">
        <v>86</v>
      </c>
      <c r="AC19">
        <v>5</v>
      </c>
    </row>
    <row r="20" spans="1:29" x14ac:dyDescent="0.35">
      <c r="A20" s="6" t="s">
        <v>45</v>
      </c>
      <c r="B20" s="4" t="s">
        <v>11</v>
      </c>
      <c r="C20" s="5">
        <v>-2079.4902829297439</v>
      </c>
      <c r="D20" s="5">
        <v>2025.452186642636</v>
      </c>
      <c r="E20" s="5">
        <v>-1.0266795220561</v>
      </c>
      <c r="F20" s="5" t="s">
        <v>12</v>
      </c>
      <c r="G20" s="5"/>
      <c r="K20" s="6" t="s">
        <v>87</v>
      </c>
      <c r="L20" s="7" t="s">
        <v>25</v>
      </c>
      <c r="M20">
        <v>2.4295735755289209</v>
      </c>
      <c r="N20">
        <v>1.013112685056643</v>
      </c>
      <c r="O20">
        <v>2.398127682502647</v>
      </c>
      <c r="P20" t="s">
        <v>14</v>
      </c>
      <c r="S20" t="s">
        <v>88</v>
      </c>
      <c r="T20" t="s">
        <v>11</v>
      </c>
      <c r="X20" t="s">
        <v>89</v>
      </c>
      <c r="Y20" t="s">
        <v>90</v>
      </c>
      <c r="AC20">
        <v>4</v>
      </c>
    </row>
    <row r="21" spans="1:29" x14ac:dyDescent="0.35">
      <c r="A21" s="6" t="s">
        <v>45</v>
      </c>
      <c r="B21" s="4" t="s">
        <v>19</v>
      </c>
      <c r="C21" s="5">
        <v>11567.08311867982</v>
      </c>
      <c r="D21" s="5">
        <v>6592.3018748505492</v>
      </c>
      <c r="E21" s="5">
        <v>1.7546349269604791</v>
      </c>
      <c r="F21" s="5" t="s">
        <v>12</v>
      </c>
      <c r="G21" s="5"/>
      <c r="K21" s="6" t="s">
        <v>91</v>
      </c>
      <c r="L21" s="7" t="s">
        <v>11</v>
      </c>
      <c r="M21">
        <v>3633.2323446857422</v>
      </c>
      <c r="N21">
        <v>1661.2315497183049</v>
      </c>
      <c r="O21">
        <v>2.1870716007662079</v>
      </c>
      <c r="P21" t="s">
        <v>14</v>
      </c>
      <c r="S21" t="s">
        <v>92</v>
      </c>
      <c r="T21" t="s">
        <v>16</v>
      </c>
      <c r="AC21">
        <f>SUM(AC1:AC20)</f>
        <v>35</v>
      </c>
    </row>
    <row r="22" spans="1:29" x14ac:dyDescent="0.35">
      <c r="A22" s="6" t="s">
        <v>45</v>
      </c>
      <c r="B22" s="7" t="s">
        <v>20</v>
      </c>
      <c r="C22">
        <v>8605.9616970363913</v>
      </c>
      <c r="D22">
        <v>20.434063635668672</v>
      </c>
      <c r="E22">
        <v>421.15762437062489</v>
      </c>
      <c r="F22" t="s">
        <v>14</v>
      </c>
      <c r="K22" s="6" t="s">
        <v>91</v>
      </c>
      <c r="L22" s="7" t="s">
        <v>19</v>
      </c>
      <c r="M22">
        <v>6065.5048236613811</v>
      </c>
      <c r="N22">
        <v>2983.1139077727798</v>
      </c>
      <c r="O22">
        <v>2.03327965715863</v>
      </c>
      <c r="P22" t="s">
        <v>14</v>
      </c>
      <c r="S22" t="s">
        <v>93</v>
      </c>
      <c r="T22" t="s">
        <v>31</v>
      </c>
    </row>
    <row r="23" spans="1:29" x14ac:dyDescent="0.35">
      <c r="A23" s="6" t="s">
        <v>45</v>
      </c>
      <c r="B23" s="7" t="s">
        <v>25</v>
      </c>
      <c r="C23">
        <v>1.4195924551624839</v>
      </c>
      <c r="D23">
        <v>0.1079483568404562</v>
      </c>
      <c r="E23">
        <v>13.150662934690059</v>
      </c>
      <c r="F23" t="s">
        <v>14</v>
      </c>
      <c r="K23" s="6" t="s">
        <v>91</v>
      </c>
      <c r="L23" s="7" t="s">
        <v>20</v>
      </c>
      <c r="M23">
        <v>4418.5628161543373</v>
      </c>
      <c r="N23">
        <v>1761.1017816024371</v>
      </c>
      <c r="O23">
        <v>2.5089764046084042</v>
      </c>
      <c r="P23" t="s">
        <v>14</v>
      </c>
      <c r="S23" t="s">
        <v>94</v>
      </c>
      <c r="T23" t="s">
        <v>95</v>
      </c>
    </row>
    <row r="24" spans="1:29" x14ac:dyDescent="0.35">
      <c r="A24" s="6" t="s">
        <v>45</v>
      </c>
      <c r="B24" s="7" t="s">
        <v>29</v>
      </c>
      <c r="C24">
        <v>28176.684652369069</v>
      </c>
      <c r="D24">
        <v>443.17608017793822</v>
      </c>
      <c r="E24">
        <v>63.578983416830489</v>
      </c>
      <c r="F24" t="s">
        <v>14</v>
      </c>
      <c r="K24" s="6" t="s">
        <v>91</v>
      </c>
      <c r="L24" s="7" t="s">
        <v>25</v>
      </c>
      <c r="M24">
        <v>2.8365916633790271</v>
      </c>
      <c r="N24">
        <v>0.29486874421688791</v>
      </c>
      <c r="O24">
        <v>9.6198451650494334</v>
      </c>
      <c r="P24" t="s">
        <v>14</v>
      </c>
      <c r="S24" t="s">
        <v>96</v>
      </c>
      <c r="T24" t="s">
        <v>97</v>
      </c>
    </row>
    <row r="25" spans="1:29" x14ac:dyDescent="0.35">
      <c r="A25" s="6" t="s">
        <v>45</v>
      </c>
      <c r="B25" s="7" t="s">
        <v>31</v>
      </c>
      <c r="C25">
        <v>7.7518895396404366</v>
      </c>
      <c r="D25">
        <v>3.300249897874719</v>
      </c>
      <c r="E25">
        <v>2.348879563524104</v>
      </c>
      <c r="F25" t="s">
        <v>14</v>
      </c>
      <c r="K25" s="8" t="s">
        <v>98</v>
      </c>
      <c r="L25" s="7" t="s">
        <v>11</v>
      </c>
      <c r="M25">
        <v>3277.0120397035198</v>
      </c>
      <c r="N25">
        <v>820.69667686537935</v>
      </c>
      <c r="O25">
        <v>3.992963700328295</v>
      </c>
      <c r="P25" t="s">
        <v>14</v>
      </c>
      <c r="S25" t="s">
        <v>99</v>
      </c>
      <c r="T25" t="s">
        <v>100</v>
      </c>
    </row>
    <row r="26" spans="1:29" x14ac:dyDescent="0.35">
      <c r="A26" s="6" t="s">
        <v>61</v>
      </c>
      <c r="B26" s="4" t="s">
        <v>11</v>
      </c>
      <c r="C26" s="5">
        <v>1031.354881456896</v>
      </c>
      <c r="D26" s="5">
        <v>1332.556692141334</v>
      </c>
      <c r="E26" s="5">
        <v>0.7739669820723154</v>
      </c>
      <c r="F26" s="5" t="s">
        <v>12</v>
      </c>
      <c r="G26" s="5"/>
      <c r="K26" s="8" t="s">
        <v>98</v>
      </c>
      <c r="L26" s="7" t="s">
        <v>25</v>
      </c>
      <c r="M26">
        <v>4.2485619929614238</v>
      </c>
      <c r="N26">
        <v>0.59652857850067853</v>
      </c>
      <c r="O26">
        <v>7.1221432569748897</v>
      </c>
      <c r="P26" t="s">
        <v>14</v>
      </c>
      <c r="S26" t="s">
        <v>101</v>
      </c>
      <c r="T26" t="s">
        <v>102</v>
      </c>
    </row>
    <row r="27" spans="1:29" x14ac:dyDescent="0.35">
      <c r="A27" s="6" t="s">
        <v>61</v>
      </c>
      <c r="B27" s="4" t="s">
        <v>19</v>
      </c>
      <c r="C27" s="5">
        <v>2375.878237325966</v>
      </c>
      <c r="D27" s="5">
        <v>4108.7331900142626</v>
      </c>
      <c r="E27" s="5">
        <v>0.57825079591447481</v>
      </c>
      <c r="F27" s="5" t="s">
        <v>12</v>
      </c>
      <c r="G27" s="5"/>
      <c r="K27" s="8" t="s">
        <v>98</v>
      </c>
      <c r="L27" s="7" t="s">
        <v>29</v>
      </c>
      <c r="M27">
        <v>-119794.19001952421</v>
      </c>
      <c r="N27">
        <v>34973.347446055457</v>
      </c>
      <c r="O27">
        <v>-3.4252995142744189</v>
      </c>
      <c r="P27" t="s">
        <v>14</v>
      </c>
      <c r="S27" t="s">
        <v>103</v>
      </c>
      <c r="T27" t="s">
        <v>50</v>
      </c>
    </row>
    <row r="28" spans="1:29" x14ac:dyDescent="0.35">
      <c r="A28" s="6" t="s">
        <v>61</v>
      </c>
      <c r="B28" s="4" t="s">
        <v>20</v>
      </c>
      <c r="C28" s="5">
        <v>1066.015618340422</v>
      </c>
      <c r="D28" s="5">
        <v>3080.1076523802371</v>
      </c>
      <c r="E28" s="5">
        <v>0.34609687019108892</v>
      </c>
      <c r="F28" s="5" t="s">
        <v>12</v>
      </c>
      <c r="G28" s="5"/>
      <c r="K28" s="8" t="s">
        <v>98</v>
      </c>
      <c r="L28" s="7" t="s">
        <v>31</v>
      </c>
      <c r="M28">
        <v>-4.1781440035086419</v>
      </c>
      <c r="N28">
        <v>0.77519442683062689</v>
      </c>
      <c r="O28">
        <v>-5.3898013954911077</v>
      </c>
      <c r="P28" t="s">
        <v>14</v>
      </c>
      <c r="S28" t="s">
        <v>104</v>
      </c>
      <c r="T28" t="s">
        <v>31</v>
      </c>
    </row>
    <row r="29" spans="1:29" x14ac:dyDescent="0.35">
      <c r="A29" s="6" t="s">
        <v>61</v>
      </c>
      <c r="B29" s="7" t="s">
        <v>25</v>
      </c>
      <c r="C29">
        <v>2.608904671392311</v>
      </c>
      <c r="D29">
        <v>1.04406389927023</v>
      </c>
      <c r="E29">
        <v>2.4987978927495331</v>
      </c>
      <c r="F29" t="s">
        <v>14</v>
      </c>
      <c r="K29" s="6" t="s">
        <v>105</v>
      </c>
      <c r="L29" s="7" t="s">
        <v>11</v>
      </c>
      <c r="M29">
        <v>2996.0767704209779</v>
      </c>
      <c r="N29">
        <v>813.06544310207823</v>
      </c>
      <c r="O29">
        <v>3.6849146595015578</v>
      </c>
      <c r="P29" t="s">
        <v>14</v>
      </c>
      <c r="S29" t="s">
        <v>106</v>
      </c>
      <c r="T29" t="s">
        <v>20</v>
      </c>
    </row>
    <row r="30" spans="1:29" x14ac:dyDescent="0.35">
      <c r="A30" s="6" t="s">
        <v>61</v>
      </c>
      <c r="B30" s="4" t="s">
        <v>29</v>
      </c>
      <c r="C30" s="5">
        <v>-200731.34142506131</v>
      </c>
      <c r="D30" s="5">
        <v>113630.8262699042</v>
      </c>
      <c r="E30" s="5">
        <v>-1.766521885076058</v>
      </c>
      <c r="F30" s="5" t="s">
        <v>12</v>
      </c>
      <c r="G30" s="5"/>
      <c r="K30" s="6" t="s">
        <v>105</v>
      </c>
      <c r="L30" s="7" t="s">
        <v>31</v>
      </c>
      <c r="M30">
        <v>-2.0473293302083109</v>
      </c>
      <c r="N30">
        <v>0.50405360990814785</v>
      </c>
      <c r="O30">
        <v>-4.0617293279208733</v>
      </c>
      <c r="P30" t="s">
        <v>14</v>
      </c>
      <c r="S30" t="s">
        <v>107</v>
      </c>
      <c r="T30" t="s">
        <v>108</v>
      </c>
    </row>
    <row r="31" spans="1:29" x14ac:dyDescent="0.35">
      <c r="A31" s="6" t="s">
        <v>61</v>
      </c>
      <c r="B31" s="4" t="s">
        <v>31</v>
      </c>
      <c r="C31" s="5">
        <v>-5.606548546781764</v>
      </c>
      <c r="D31" s="5">
        <v>5.9143178256892641</v>
      </c>
      <c r="E31" s="5">
        <v>-0.94796199866522524</v>
      </c>
      <c r="F31" s="5" t="s">
        <v>12</v>
      </c>
      <c r="G31" s="5"/>
      <c r="K31" s="6" t="s">
        <v>109</v>
      </c>
      <c r="L31" s="7" t="s">
        <v>19</v>
      </c>
      <c r="M31">
        <v>14234.254803045809</v>
      </c>
      <c r="N31">
        <v>7022.2322051443134</v>
      </c>
      <c r="O31">
        <v>2.0270270744704439</v>
      </c>
      <c r="P31" t="s">
        <v>14</v>
      </c>
    </row>
    <row r="32" spans="1:29" x14ac:dyDescent="0.35">
      <c r="A32" s="6" t="s">
        <v>65</v>
      </c>
      <c r="B32" s="4" t="s">
        <v>11</v>
      </c>
      <c r="C32" s="5">
        <v>-237.89017090360329</v>
      </c>
      <c r="D32" s="5">
        <v>1073.579091428946</v>
      </c>
      <c r="E32" s="5">
        <v>-0.22158606925454249</v>
      </c>
      <c r="F32" s="5" t="s">
        <v>12</v>
      </c>
      <c r="G32" s="5"/>
      <c r="K32" s="6" t="s">
        <v>109</v>
      </c>
      <c r="L32" s="7" t="s">
        <v>31</v>
      </c>
      <c r="M32">
        <v>-1.648025653588252</v>
      </c>
      <c r="N32">
        <v>0.80008644136194307</v>
      </c>
      <c r="O32">
        <v>-2.0598095010620461</v>
      </c>
      <c r="P32" t="s">
        <v>14</v>
      </c>
    </row>
    <row r="33" spans="1:16" x14ac:dyDescent="0.35">
      <c r="A33" s="6" t="s">
        <v>65</v>
      </c>
      <c r="B33" s="4" t="s">
        <v>19</v>
      </c>
      <c r="C33" s="5">
        <v>2323.2702493880411</v>
      </c>
      <c r="D33" s="5">
        <v>1813.0055666180081</v>
      </c>
      <c r="E33" s="5">
        <v>1.2814468373210151</v>
      </c>
      <c r="F33" s="5" t="s">
        <v>12</v>
      </c>
      <c r="G33" s="5"/>
      <c r="K33" s="6" t="s">
        <v>110</v>
      </c>
      <c r="L33" s="7" t="s">
        <v>31</v>
      </c>
      <c r="M33">
        <v>-1.5291553373215181</v>
      </c>
      <c r="N33">
        <v>0.72294820200983434</v>
      </c>
      <c r="O33">
        <v>-2.115165834938638</v>
      </c>
      <c r="P33" t="s">
        <v>14</v>
      </c>
    </row>
    <row r="34" spans="1:16" ht="34.5" x14ac:dyDescent="0.35">
      <c r="A34" s="6" t="s">
        <v>65</v>
      </c>
      <c r="B34" s="4" t="s">
        <v>20</v>
      </c>
      <c r="C34" s="5">
        <v>2142.7989253201431</v>
      </c>
      <c r="D34" s="5">
        <v>1112.261001753357</v>
      </c>
      <c r="E34" s="5">
        <v>1.9265252687474039</v>
      </c>
      <c r="F34" s="5" t="s">
        <v>12</v>
      </c>
      <c r="G34" s="5"/>
      <c r="K34" s="9" t="s">
        <v>111</v>
      </c>
      <c r="L34" s="7" t="s">
        <v>31</v>
      </c>
      <c r="M34">
        <v>-2.147573702224145</v>
      </c>
      <c r="N34">
        <v>0.93362151085527556</v>
      </c>
      <c r="O34">
        <v>-2.3002615912917288</v>
      </c>
      <c r="P34" t="s">
        <v>14</v>
      </c>
    </row>
    <row r="35" spans="1:16" x14ac:dyDescent="0.35">
      <c r="A35" s="6" t="s">
        <v>65</v>
      </c>
      <c r="B35" s="4" t="s">
        <v>25</v>
      </c>
      <c r="C35" s="5">
        <v>1.209921529682028</v>
      </c>
      <c r="D35" s="5">
        <v>0.79244160522411611</v>
      </c>
      <c r="E35" s="5">
        <v>1.5268273670964581</v>
      </c>
      <c r="F35" s="5" t="s">
        <v>12</v>
      </c>
      <c r="G35" s="5"/>
      <c r="K35" s="6" t="s">
        <v>112</v>
      </c>
      <c r="L35" s="7" t="s">
        <v>19</v>
      </c>
      <c r="M35">
        <v>2847.2672539509599</v>
      </c>
      <c r="N35">
        <v>1432.9658974496151</v>
      </c>
      <c r="O35">
        <v>1.986974888249966</v>
      </c>
      <c r="P35" t="s">
        <v>14</v>
      </c>
    </row>
    <row r="36" spans="1:16" x14ac:dyDescent="0.35">
      <c r="A36" s="6" t="s">
        <v>65</v>
      </c>
      <c r="B36" s="4" t="s">
        <v>29</v>
      </c>
      <c r="C36" s="5">
        <v>-6399.6624498371284</v>
      </c>
      <c r="D36" s="5">
        <v>31719.49992920088</v>
      </c>
      <c r="E36" s="5">
        <v>-0.20175798685734059</v>
      </c>
      <c r="F36" s="5" t="s">
        <v>12</v>
      </c>
      <c r="G36" s="5"/>
      <c r="K36" s="6" t="s">
        <v>113</v>
      </c>
      <c r="L36" s="7" t="s">
        <v>25</v>
      </c>
      <c r="M36">
        <v>4.7451782880955156</v>
      </c>
      <c r="N36">
        <v>1.647634589683507</v>
      </c>
      <c r="O36">
        <v>2.8799943372195251</v>
      </c>
      <c r="P36" t="s">
        <v>14</v>
      </c>
    </row>
    <row r="37" spans="1:16" x14ac:dyDescent="0.35">
      <c r="A37" s="6" t="s">
        <v>65</v>
      </c>
      <c r="B37" s="7" t="s">
        <v>31</v>
      </c>
      <c r="C37">
        <v>-3.5282461128940712</v>
      </c>
      <c r="D37">
        <v>1.489770658351901</v>
      </c>
      <c r="E37">
        <v>-2.3683149437224702</v>
      </c>
      <c r="F37" t="s">
        <v>14</v>
      </c>
      <c r="K37" s="6" t="s">
        <v>114</v>
      </c>
      <c r="L37" s="7" t="s">
        <v>20</v>
      </c>
      <c r="M37">
        <v>-719.19054934461735</v>
      </c>
      <c r="N37">
        <v>241.26617737095259</v>
      </c>
      <c r="O37">
        <v>-2.9809008340147249</v>
      </c>
      <c r="P37" t="s">
        <v>14</v>
      </c>
    </row>
    <row r="38" spans="1:16" x14ac:dyDescent="0.35">
      <c r="A38" s="6" t="s">
        <v>48</v>
      </c>
      <c r="B38" s="7" t="s">
        <v>11</v>
      </c>
      <c r="C38">
        <v>-337.16406664916241</v>
      </c>
      <c r="D38">
        <v>113.92662600861971</v>
      </c>
      <c r="E38">
        <v>-2.9594843493710812</v>
      </c>
      <c r="F38" t="s">
        <v>14</v>
      </c>
      <c r="K38" s="6" t="s">
        <v>114</v>
      </c>
      <c r="L38" s="7" t="s">
        <v>25</v>
      </c>
      <c r="M38">
        <v>4.1378989951927627</v>
      </c>
      <c r="N38">
        <v>1.2403830205285229</v>
      </c>
      <c r="O38">
        <v>3.3359848745991521</v>
      </c>
      <c r="P38" t="s">
        <v>14</v>
      </c>
    </row>
    <row r="39" spans="1:16" x14ac:dyDescent="0.35">
      <c r="A39" s="6" t="s">
        <v>48</v>
      </c>
      <c r="B39" s="7" t="s">
        <v>19</v>
      </c>
      <c r="C39">
        <v>-319.02264143141502</v>
      </c>
      <c r="D39">
        <v>70.280058530041202</v>
      </c>
      <c r="E39">
        <v>-4.5393052894947266</v>
      </c>
      <c r="F39" t="s">
        <v>14</v>
      </c>
      <c r="K39" s="6" t="s">
        <v>114</v>
      </c>
      <c r="L39" s="7" t="s">
        <v>31</v>
      </c>
      <c r="M39">
        <v>10.27201969290582</v>
      </c>
      <c r="N39">
        <v>2.529908407884355</v>
      </c>
      <c r="O39">
        <v>4.0602338254197257</v>
      </c>
      <c r="P39" t="s">
        <v>14</v>
      </c>
    </row>
    <row r="40" spans="1:16" x14ac:dyDescent="0.35">
      <c r="A40" s="6" t="s">
        <v>48</v>
      </c>
      <c r="B40" s="4" t="s">
        <v>20</v>
      </c>
      <c r="C40" s="5">
        <v>4.7127161545617602</v>
      </c>
      <c r="D40" s="5">
        <v>93.078765542990894</v>
      </c>
      <c r="E40" s="5">
        <v>5.0631485356185432E-2</v>
      </c>
      <c r="F40" s="5" t="s">
        <v>12</v>
      </c>
      <c r="G40" s="5"/>
      <c r="K40" s="6" t="s">
        <v>115</v>
      </c>
      <c r="L40" s="7" t="s">
        <v>11</v>
      </c>
      <c r="M40">
        <v>317.10733977708401</v>
      </c>
      <c r="N40">
        <v>71.091099007663786</v>
      </c>
      <c r="O40">
        <v>4.4605772621815722</v>
      </c>
      <c r="P40" t="s">
        <v>14</v>
      </c>
    </row>
    <row r="41" spans="1:16" x14ac:dyDescent="0.35">
      <c r="A41" s="6" t="s">
        <v>48</v>
      </c>
      <c r="B41" s="4" t="s">
        <v>25</v>
      </c>
      <c r="C41" s="5">
        <v>-0.14465008878600341</v>
      </c>
      <c r="D41" s="5">
        <v>8.4285654447202943E-2</v>
      </c>
      <c r="E41" s="5">
        <v>-1.7161887124767261</v>
      </c>
      <c r="F41" s="5" t="s">
        <v>12</v>
      </c>
      <c r="G41" s="5"/>
      <c r="K41" s="6" t="s">
        <v>115</v>
      </c>
      <c r="L41" s="7" t="s">
        <v>19</v>
      </c>
      <c r="M41">
        <v>-527.59294798160022</v>
      </c>
      <c r="N41">
        <v>239.8055124385325</v>
      </c>
      <c r="O41">
        <v>-2.2000868229283679</v>
      </c>
      <c r="P41" t="s">
        <v>14</v>
      </c>
    </row>
    <row r="42" spans="1:16" x14ac:dyDescent="0.35">
      <c r="A42" s="6" t="s">
        <v>48</v>
      </c>
      <c r="B42" s="4" t="s">
        <v>29</v>
      </c>
      <c r="C42" s="5">
        <v>1703.637660813403</v>
      </c>
      <c r="D42" s="5">
        <v>2725.022333500568</v>
      </c>
      <c r="E42" s="5">
        <v>0.62518300854617492</v>
      </c>
      <c r="F42" s="5" t="s">
        <v>12</v>
      </c>
      <c r="G42" s="5"/>
      <c r="K42" s="6" t="s">
        <v>115</v>
      </c>
      <c r="L42" s="7" t="s">
        <v>20</v>
      </c>
      <c r="M42">
        <v>-858.4844793997903</v>
      </c>
      <c r="N42">
        <v>105.90087061879331</v>
      </c>
      <c r="O42">
        <v>-8.106491234524773</v>
      </c>
      <c r="P42" t="s">
        <v>14</v>
      </c>
    </row>
    <row r="43" spans="1:16" x14ac:dyDescent="0.35">
      <c r="A43" s="6" t="s">
        <v>48</v>
      </c>
      <c r="B43" s="7" t="s">
        <v>31</v>
      </c>
      <c r="C43">
        <v>-0.48415186605804389</v>
      </c>
      <c r="D43">
        <v>0.235325326714002</v>
      </c>
      <c r="E43">
        <v>-2.0573725438675301</v>
      </c>
      <c r="F43" t="s">
        <v>14</v>
      </c>
      <c r="K43" s="6" t="s">
        <v>115</v>
      </c>
      <c r="L43" s="7" t="s">
        <v>25</v>
      </c>
      <c r="M43">
        <v>-0.2961127352982923</v>
      </c>
      <c r="N43">
        <v>4.749619938055015E-2</v>
      </c>
      <c r="O43">
        <v>-6.2344511594658547</v>
      </c>
      <c r="P43" t="s">
        <v>14</v>
      </c>
    </row>
    <row r="44" spans="1:16" x14ac:dyDescent="0.35">
      <c r="A44" s="6" t="s">
        <v>77</v>
      </c>
      <c r="B44" s="4" t="s">
        <v>11</v>
      </c>
      <c r="C44" s="5">
        <v>258.01073584600448</v>
      </c>
      <c r="D44" s="5">
        <v>339.0929057949831</v>
      </c>
      <c r="E44" s="5">
        <v>0.76088508912067554</v>
      </c>
      <c r="F44" s="5" t="s">
        <v>12</v>
      </c>
      <c r="G44" s="5"/>
      <c r="K44" s="6" t="s">
        <v>115</v>
      </c>
      <c r="L44" s="7" t="s">
        <v>29</v>
      </c>
      <c r="M44">
        <v>7268.4576094075219</v>
      </c>
      <c r="N44">
        <v>977.99165868688317</v>
      </c>
      <c r="O44">
        <v>7.432024133177821</v>
      </c>
      <c r="P44" t="s">
        <v>14</v>
      </c>
    </row>
    <row r="45" spans="1:16" x14ac:dyDescent="0.35">
      <c r="A45" s="6" t="s">
        <v>77</v>
      </c>
      <c r="B45" s="4" t="s">
        <v>19</v>
      </c>
      <c r="C45" s="5">
        <v>-363.83243204328159</v>
      </c>
      <c r="D45" s="5">
        <v>1409.2994211708669</v>
      </c>
      <c r="E45" s="5">
        <v>-0.25816545907682581</v>
      </c>
      <c r="F45" s="5" t="s">
        <v>12</v>
      </c>
      <c r="G45" s="5"/>
      <c r="K45" s="6" t="s">
        <v>115</v>
      </c>
      <c r="L45" s="7" t="s">
        <v>31</v>
      </c>
      <c r="M45">
        <v>-0.59274014537649977</v>
      </c>
      <c r="N45">
        <v>0.15582224967341141</v>
      </c>
      <c r="O45">
        <v>-3.803950633615075</v>
      </c>
      <c r="P45" t="s">
        <v>14</v>
      </c>
    </row>
    <row r="46" spans="1:16" x14ac:dyDescent="0.35">
      <c r="A46" s="6" t="s">
        <v>77</v>
      </c>
      <c r="B46" s="4" t="s">
        <v>20</v>
      </c>
      <c r="C46" s="5">
        <v>619.20850345414317</v>
      </c>
      <c r="D46" s="5">
        <v>653.93390827335668</v>
      </c>
      <c r="E46" s="5">
        <v>0.94689768433800559</v>
      </c>
      <c r="F46" s="5" t="s">
        <v>12</v>
      </c>
      <c r="G46" s="5"/>
      <c r="K46" s="6" t="s">
        <v>116</v>
      </c>
      <c r="L46" s="7" t="s">
        <v>11</v>
      </c>
      <c r="M46">
        <v>379.89672985327218</v>
      </c>
      <c r="N46">
        <v>187.32722143550461</v>
      </c>
      <c r="O46">
        <v>2.027984651360816</v>
      </c>
      <c r="P46" t="s">
        <v>14</v>
      </c>
    </row>
    <row r="47" spans="1:16" x14ac:dyDescent="0.35">
      <c r="A47" s="6" t="s">
        <v>77</v>
      </c>
      <c r="B47" s="4" t="s">
        <v>25</v>
      </c>
      <c r="C47" s="5">
        <v>9.7900578544887998E-2</v>
      </c>
      <c r="D47" s="5">
        <v>0.1577852382733167</v>
      </c>
      <c r="E47" s="5">
        <v>0.62046728588959599</v>
      </c>
      <c r="F47" s="5" t="s">
        <v>12</v>
      </c>
      <c r="G47" s="5"/>
      <c r="K47" s="6" t="s">
        <v>117</v>
      </c>
      <c r="L47" s="7" t="s">
        <v>29</v>
      </c>
      <c r="M47">
        <v>67054.826632604425</v>
      </c>
      <c r="N47">
        <v>11707.438643085539</v>
      </c>
      <c r="O47">
        <v>5.7275402995348816</v>
      </c>
      <c r="P47" t="s">
        <v>14</v>
      </c>
    </row>
    <row r="48" spans="1:16" x14ac:dyDescent="0.35">
      <c r="A48" s="6" t="s">
        <v>77</v>
      </c>
      <c r="B48" s="7" t="s">
        <v>29</v>
      </c>
      <c r="C48">
        <v>-25110.238911267221</v>
      </c>
      <c r="D48">
        <v>10145.592682408649</v>
      </c>
      <c r="E48">
        <v>-2.4749898500070509</v>
      </c>
      <c r="F48" t="s">
        <v>14</v>
      </c>
      <c r="K48" s="6" t="s">
        <v>117</v>
      </c>
      <c r="L48" s="7" t="s">
        <v>31</v>
      </c>
      <c r="M48">
        <v>21.081874053403229</v>
      </c>
      <c r="N48">
        <v>4.9973049096811302</v>
      </c>
      <c r="O48">
        <v>4.2186487385554452</v>
      </c>
      <c r="P48" t="s">
        <v>14</v>
      </c>
    </row>
    <row r="49" spans="1:16" x14ac:dyDescent="0.35">
      <c r="A49" s="6" t="s">
        <v>77</v>
      </c>
      <c r="B49" s="4" t="s">
        <v>31</v>
      </c>
      <c r="C49" s="5">
        <v>-0.49405387095045161</v>
      </c>
      <c r="D49" s="5">
        <v>0.53721926524177199</v>
      </c>
      <c r="E49" s="5">
        <v>-0.91965032327741625</v>
      </c>
      <c r="F49" s="5" t="s">
        <v>12</v>
      </c>
      <c r="G49" s="5"/>
      <c r="K49" s="6" t="s">
        <v>118</v>
      </c>
      <c r="L49" s="7" t="s">
        <v>31</v>
      </c>
      <c r="M49">
        <v>-7.1695943206833919</v>
      </c>
      <c r="N49">
        <v>2.138480721746904</v>
      </c>
      <c r="O49">
        <v>-3.3526579163297852</v>
      </c>
      <c r="P49" t="s">
        <v>14</v>
      </c>
    </row>
    <row r="50" spans="1:16" x14ac:dyDescent="0.35">
      <c r="A50" s="6" t="s">
        <v>82</v>
      </c>
      <c r="B50" s="4" t="s">
        <v>11</v>
      </c>
      <c r="C50" s="5">
        <v>791.99778093989732</v>
      </c>
      <c r="D50" s="5">
        <v>1026.0646550051331</v>
      </c>
      <c r="E50" s="5">
        <v>0.77187902056321733</v>
      </c>
      <c r="F50" s="5" t="s">
        <v>12</v>
      </c>
      <c r="G50" s="5"/>
      <c r="K50" s="6" t="s">
        <v>119</v>
      </c>
      <c r="L50" s="7" t="s">
        <v>11</v>
      </c>
      <c r="M50">
        <v>-234.98907800886539</v>
      </c>
      <c r="N50">
        <v>115.2216286086519</v>
      </c>
      <c r="O50">
        <v>-2.0394528427210612</v>
      </c>
      <c r="P50" t="s">
        <v>14</v>
      </c>
    </row>
    <row r="51" spans="1:16" x14ac:dyDescent="0.35">
      <c r="A51" s="6" t="s">
        <v>82</v>
      </c>
      <c r="B51" s="4" t="s">
        <v>19</v>
      </c>
      <c r="C51" s="5">
        <v>2089.6955385053652</v>
      </c>
      <c r="D51" s="5">
        <v>2059.6452040907411</v>
      </c>
      <c r="E51" s="5">
        <v>1.014590053837884</v>
      </c>
      <c r="F51" s="5" t="s">
        <v>12</v>
      </c>
      <c r="G51" s="5"/>
      <c r="K51" s="6" t="s">
        <v>119</v>
      </c>
      <c r="L51" s="7" t="s">
        <v>20</v>
      </c>
      <c r="M51">
        <v>-193.62101521905129</v>
      </c>
      <c r="N51">
        <v>93.603016307803941</v>
      </c>
      <c r="O51">
        <v>-2.0685339303847692</v>
      </c>
      <c r="P51" t="s">
        <v>14</v>
      </c>
    </row>
    <row r="52" spans="1:16" x14ac:dyDescent="0.35">
      <c r="A52" s="6" t="s">
        <v>82</v>
      </c>
      <c r="B52" s="4" t="s">
        <v>20</v>
      </c>
      <c r="C52" s="5">
        <v>984.4780684630266</v>
      </c>
      <c r="D52" s="5">
        <v>2237.410293398369</v>
      </c>
      <c r="E52" s="5">
        <v>0.44000783913786229</v>
      </c>
      <c r="F52" s="5" t="s">
        <v>12</v>
      </c>
      <c r="G52" s="5"/>
      <c r="K52" s="6" t="s">
        <v>119</v>
      </c>
      <c r="L52" s="7" t="s">
        <v>25</v>
      </c>
      <c r="M52">
        <v>0.59211811831336758</v>
      </c>
      <c r="N52">
        <v>0.21400301547974609</v>
      </c>
      <c r="O52">
        <v>2.7668681069094911</v>
      </c>
      <c r="P52" t="s">
        <v>14</v>
      </c>
    </row>
    <row r="53" spans="1:16" x14ac:dyDescent="0.35">
      <c r="A53" s="6" t="s">
        <v>82</v>
      </c>
      <c r="B53" s="7" t="s">
        <v>25</v>
      </c>
      <c r="C53">
        <v>2.6768906647369528</v>
      </c>
      <c r="D53">
        <v>1.083735415164925</v>
      </c>
      <c r="E53">
        <v>2.4700592296594639</v>
      </c>
      <c r="F53" t="s">
        <v>14</v>
      </c>
      <c r="K53" s="6" t="s">
        <v>119</v>
      </c>
      <c r="L53" s="7" t="s">
        <v>29</v>
      </c>
      <c r="M53">
        <v>11147.86509014787</v>
      </c>
      <c r="N53">
        <v>4473.8944105721594</v>
      </c>
      <c r="O53">
        <v>2.4917586485288079</v>
      </c>
      <c r="P53" t="s">
        <v>14</v>
      </c>
    </row>
    <row r="54" spans="1:16" x14ac:dyDescent="0.35">
      <c r="A54" s="6" t="s">
        <v>82</v>
      </c>
      <c r="B54" s="4" t="s">
        <v>29</v>
      </c>
      <c r="C54" s="5">
        <v>10746.1126905848</v>
      </c>
      <c r="D54" s="5">
        <v>29605.489462407801</v>
      </c>
      <c r="E54" s="5">
        <v>0.3629770318180317</v>
      </c>
      <c r="F54" s="5" t="s">
        <v>12</v>
      </c>
      <c r="G54" s="5"/>
      <c r="K54" s="6" t="s">
        <v>120</v>
      </c>
      <c r="L54" s="7" t="s">
        <v>29</v>
      </c>
      <c r="M54">
        <v>8797.2904410035662</v>
      </c>
      <c r="N54">
        <v>3474.4022790321119</v>
      </c>
      <c r="O54">
        <v>2.5320298959319949</v>
      </c>
      <c r="P54" t="s">
        <v>14</v>
      </c>
    </row>
    <row r="55" spans="1:16" x14ac:dyDescent="0.35">
      <c r="A55" s="6" t="s">
        <v>82</v>
      </c>
      <c r="B55" s="4" t="s">
        <v>31</v>
      </c>
      <c r="C55" s="5">
        <v>-2.4001747668798918</v>
      </c>
      <c r="D55" s="5">
        <v>2.2768826780829698</v>
      </c>
      <c r="E55" s="5">
        <v>-1.0541495132725629</v>
      </c>
      <c r="F55" s="5" t="s">
        <v>12</v>
      </c>
      <c r="G55" s="5"/>
      <c r="K55" s="6" t="s">
        <v>120</v>
      </c>
      <c r="L55" s="7" t="s">
        <v>31</v>
      </c>
      <c r="M55">
        <v>-0.51239787267481884</v>
      </c>
      <c r="N55">
        <v>0.23263179181953811</v>
      </c>
      <c r="O55">
        <v>-2.2026132742523279</v>
      </c>
      <c r="P55" t="s">
        <v>14</v>
      </c>
    </row>
    <row r="56" spans="1:16" x14ac:dyDescent="0.35">
      <c r="A56" s="6" t="s">
        <v>87</v>
      </c>
      <c r="B56" s="4" t="s">
        <v>11</v>
      </c>
      <c r="C56" s="5">
        <v>1055.7798889149699</v>
      </c>
      <c r="D56" s="5">
        <v>1423.096950685072</v>
      </c>
      <c r="E56" s="5">
        <v>0.741888940459554</v>
      </c>
      <c r="F56" s="5" t="s">
        <v>12</v>
      </c>
      <c r="G56" s="5"/>
      <c r="K56" s="6" t="s">
        <v>121</v>
      </c>
      <c r="L56" s="7" t="s">
        <v>19</v>
      </c>
      <c r="M56">
        <v>-5849.9759285641076</v>
      </c>
      <c r="N56">
        <v>1982.9748832998259</v>
      </c>
      <c r="O56">
        <v>-2.9501008700772289</v>
      </c>
      <c r="P56" t="s">
        <v>14</v>
      </c>
    </row>
    <row r="57" spans="1:16" x14ac:dyDescent="0.35">
      <c r="A57" s="6" t="s">
        <v>87</v>
      </c>
      <c r="B57" s="4" t="s">
        <v>19</v>
      </c>
      <c r="C57" s="5">
        <v>2558.1897150145392</v>
      </c>
      <c r="D57" s="5">
        <v>4024.400939275713</v>
      </c>
      <c r="E57" s="5">
        <v>0.63566969435081844</v>
      </c>
      <c r="F57" s="5" t="s">
        <v>12</v>
      </c>
      <c r="G57" s="5"/>
      <c r="K57" s="6" t="s">
        <v>121</v>
      </c>
      <c r="L57" s="7" t="s">
        <v>20</v>
      </c>
      <c r="M57">
        <v>-10557.891320294601</v>
      </c>
      <c r="N57">
        <v>1590.3862855546331</v>
      </c>
      <c r="O57">
        <v>-6.6385704002802237</v>
      </c>
      <c r="P57" t="s">
        <v>14</v>
      </c>
    </row>
    <row r="58" spans="1:16" x14ac:dyDescent="0.35">
      <c r="A58" s="6" t="s">
        <v>87</v>
      </c>
      <c r="B58" s="4" t="s">
        <v>20</v>
      </c>
      <c r="C58" s="5">
        <v>630.45293428721641</v>
      </c>
      <c r="D58" s="5">
        <v>3335.0140408320649</v>
      </c>
      <c r="E58" s="5">
        <v>0.18904056371826319</v>
      </c>
      <c r="F58" s="5" t="s">
        <v>12</v>
      </c>
      <c r="G58" s="5"/>
      <c r="K58" s="6" t="s">
        <v>121</v>
      </c>
      <c r="L58" s="7" t="s">
        <v>25</v>
      </c>
      <c r="M58">
        <v>-1.912165998081111</v>
      </c>
      <c r="N58">
        <v>0.81364947559111034</v>
      </c>
      <c r="O58">
        <v>-2.350110281447594</v>
      </c>
      <c r="P58" t="s">
        <v>14</v>
      </c>
    </row>
    <row r="59" spans="1:16" x14ac:dyDescent="0.35">
      <c r="A59" s="6" t="s">
        <v>87</v>
      </c>
      <c r="B59" s="7" t="s">
        <v>25</v>
      </c>
      <c r="C59">
        <v>2.4295735755289209</v>
      </c>
      <c r="D59">
        <v>1.013112685056643</v>
      </c>
      <c r="E59">
        <v>2.398127682502647</v>
      </c>
      <c r="F59" t="s">
        <v>14</v>
      </c>
      <c r="K59" s="6" t="s">
        <v>122</v>
      </c>
      <c r="L59" s="7" t="s">
        <v>31</v>
      </c>
      <c r="M59">
        <v>-4.4945946958495346</v>
      </c>
      <c r="N59">
        <v>1.9653895634263501</v>
      </c>
      <c r="O59">
        <v>-2.2868721700210468</v>
      </c>
      <c r="P59" t="s">
        <v>14</v>
      </c>
    </row>
    <row r="60" spans="1:16" x14ac:dyDescent="0.35">
      <c r="A60" s="6" t="s">
        <v>87</v>
      </c>
      <c r="B60" s="4" t="s">
        <v>29</v>
      </c>
      <c r="C60" s="5">
        <v>-197868.43097631531</v>
      </c>
      <c r="D60" s="5">
        <v>106090.53477856181</v>
      </c>
      <c r="E60" s="5">
        <v>-1.8650903343009579</v>
      </c>
      <c r="F60" s="5" t="s">
        <v>12</v>
      </c>
      <c r="G60" s="5"/>
      <c r="K60" s="6" t="s">
        <v>123</v>
      </c>
      <c r="L60" s="7" t="s">
        <v>11</v>
      </c>
      <c r="M60">
        <v>2624.440777941848</v>
      </c>
      <c r="N60">
        <v>924.11361169531074</v>
      </c>
      <c r="O60">
        <v>2.8399546816838281</v>
      </c>
      <c r="P60" t="s">
        <v>14</v>
      </c>
    </row>
    <row r="61" spans="1:16" x14ac:dyDescent="0.35">
      <c r="A61" s="6" t="s">
        <v>87</v>
      </c>
      <c r="B61" s="4" t="s">
        <v>31</v>
      </c>
      <c r="C61" s="5">
        <v>-5.6833186437556664</v>
      </c>
      <c r="D61" s="5">
        <v>5.7832071753075773</v>
      </c>
      <c r="E61" s="5">
        <v>-0.9827278310245563</v>
      </c>
      <c r="F61" s="5" t="s">
        <v>12</v>
      </c>
      <c r="G61" s="5"/>
      <c r="K61" s="6" t="s">
        <v>123</v>
      </c>
      <c r="L61" s="7" t="s">
        <v>19</v>
      </c>
      <c r="M61">
        <v>2781.722157510771</v>
      </c>
      <c r="N61">
        <v>979.56566906319676</v>
      </c>
      <c r="O61">
        <v>2.839750560236618</v>
      </c>
      <c r="P61" t="s">
        <v>14</v>
      </c>
    </row>
    <row r="62" spans="1:16" x14ac:dyDescent="0.35">
      <c r="A62" s="6" t="s">
        <v>91</v>
      </c>
      <c r="B62" s="7" t="s">
        <v>11</v>
      </c>
      <c r="C62">
        <v>3633.2323446857422</v>
      </c>
      <c r="D62">
        <v>1661.2315497183049</v>
      </c>
      <c r="E62">
        <v>2.1870716007662079</v>
      </c>
      <c r="F62" t="s">
        <v>14</v>
      </c>
      <c r="K62" s="6" t="s">
        <v>123</v>
      </c>
      <c r="L62" s="7" t="s">
        <v>20</v>
      </c>
      <c r="M62">
        <v>-4261.2173396768139</v>
      </c>
      <c r="N62">
        <v>1760.6325269729759</v>
      </c>
      <c r="O62">
        <v>-2.4202763918050798</v>
      </c>
      <c r="P62" t="s">
        <v>14</v>
      </c>
    </row>
    <row r="63" spans="1:16" x14ac:dyDescent="0.35">
      <c r="A63" s="6" t="s">
        <v>91</v>
      </c>
      <c r="B63" s="7" t="s">
        <v>19</v>
      </c>
      <c r="C63">
        <v>6065.5048236613811</v>
      </c>
      <c r="D63">
        <v>2983.1139077727798</v>
      </c>
      <c r="E63">
        <v>2.03327965715863</v>
      </c>
      <c r="F63" t="s">
        <v>14</v>
      </c>
      <c r="K63" s="6" t="s">
        <v>123</v>
      </c>
      <c r="L63" s="7" t="s">
        <v>25</v>
      </c>
      <c r="M63">
        <v>4.9424016547933167</v>
      </c>
      <c r="N63">
        <v>1.334171332148177</v>
      </c>
      <c r="O63">
        <v>3.7044729831178822</v>
      </c>
      <c r="P63" t="s">
        <v>14</v>
      </c>
    </row>
    <row r="64" spans="1:16" x14ac:dyDescent="0.35">
      <c r="A64" s="6" t="s">
        <v>91</v>
      </c>
      <c r="B64" s="7" t="s">
        <v>20</v>
      </c>
      <c r="C64">
        <v>4418.5628161543373</v>
      </c>
      <c r="D64">
        <v>1761.1017816024371</v>
      </c>
      <c r="E64">
        <v>2.5089764046084042</v>
      </c>
      <c r="F64" t="s">
        <v>14</v>
      </c>
      <c r="K64" s="6" t="s">
        <v>124</v>
      </c>
      <c r="L64" s="7" t="s">
        <v>31</v>
      </c>
      <c r="M64">
        <v>-4.8056805004939438</v>
      </c>
      <c r="N64">
        <v>1.970566075969677</v>
      </c>
      <c r="O64">
        <v>-2.4387309611676748</v>
      </c>
      <c r="P64" t="s">
        <v>14</v>
      </c>
    </row>
    <row r="65" spans="1:16" x14ac:dyDescent="0.35">
      <c r="A65" s="6" t="s">
        <v>91</v>
      </c>
      <c r="B65" s="7" t="s">
        <v>25</v>
      </c>
      <c r="C65">
        <v>2.8365916633790271</v>
      </c>
      <c r="D65">
        <v>0.29486874421688791</v>
      </c>
      <c r="E65">
        <v>9.6198451650494334</v>
      </c>
      <c r="F65" t="s">
        <v>14</v>
      </c>
      <c r="K65" s="6" t="s">
        <v>125</v>
      </c>
      <c r="L65" s="7" t="s">
        <v>20</v>
      </c>
      <c r="M65">
        <v>-7544.9540694407051</v>
      </c>
      <c r="N65">
        <v>2031.0243354869381</v>
      </c>
      <c r="O65">
        <v>-3.714851633046437</v>
      </c>
      <c r="P65" t="s">
        <v>14</v>
      </c>
    </row>
    <row r="66" spans="1:16" x14ac:dyDescent="0.35">
      <c r="A66" s="6" t="s">
        <v>91</v>
      </c>
      <c r="B66" s="4" t="s">
        <v>29</v>
      </c>
      <c r="C66" s="5">
        <v>-81189.190233386398</v>
      </c>
      <c r="D66" s="5">
        <v>99110.016730108051</v>
      </c>
      <c r="E66" s="5">
        <v>-0.81918248943976224</v>
      </c>
      <c r="F66" s="5" t="s">
        <v>12</v>
      </c>
      <c r="G66" s="5"/>
      <c r="K66" s="6" t="s">
        <v>126</v>
      </c>
      <c r="L66" s="7" t="s">
        <v>11</v>
      </c>
      <c r="M66">
        <v>2009.7972751970619</v>
      </c>
      <c r="N66">
        <v>418.65654684162928</v>
      </c>
      <c r="O66">
        <v>4.8005872363852804</v>
      </c>
      <c r="P66" t="s">
        <v>14</v>
      </c>
    </row>
    <row r="67" spans="1:16" x14ac:dyDescent="0.35">
      <c r="A67" s="6" t="s">
        <v>91</v>
      </c>
      <c r="B67" s="4" t="s">
        <v>31</v>
      </c>
      <c r="C67" s="5">
        <v>-0.64565267594463382</v>
      </c>
      <c r="D67" s="5">
        <v>8.8394049238957599</v>
      </c>
      <c r="E67" s="5">
        <v>-7.3042549979719401E-2</v>
      </c>
      <c r="F67" s="5" t="s">
        <v>12</v>
      </c>
      <c r="G67" s="5"/>
      <c r="K67" s="6" t="s">
        <v>126</v>
      </c>
      <c r="L67" s="7" t="s">
        <v>29</v>
      </c>
      <c r="M67">
        <v>56659.942114296347</v>
      </c>
      <c r="N67">
        <v>22838.1053432359</v>
      </c>
      <c r="O67">
        <v>2.4809388196940638</v>
      </c>
      <c r="P67" t="s">
        <v>14</v>
      </c>
    </row>
    <row r="68" spans="1:16" x14ac:dyDescent="0.35">
      <c r="A68" s="8" t="s">
        <v>98</v>
      </c>
      <c r="B68" s="7" t="s">
        <v>11</v>
      </c>
      <c r="C68">
        <v>3277.0120397035198</v>
      </c>
      <c r="D68">
        <v>820.69667686537935</v>
      </c>
      <c r="E68">
        <v>3.992963700328295</v>
      </c>
      <c r="F68" t="s">
        <v>14</v>
      </c>
      <c r="K68" s="6" t="s">
        <v>126</v>
      </c>
      <c r="L68" s="7" t="s">
        <v>31</v>
      </c>
      <c r="M68">
        <v>29.398148399980421</v>
      </c>
      <c r="N68">
        <v>8.099248342453949</v>
      </c>
      <c r="O68">
        <v>3.6297378666466749</v>
      </c>
      <c r="P68" t="s">
        <v>14</v>
      </c>
    </row>
    <row r="69" spans="1:16" x14ac:dyDescent="0.35">
      <c r="A69" s="8" t="s">
        <v>98</v>
      </c>
      <c r="B69" s="4" t="s">
        <v>19</v>
      </c>
      <c r="C69" s="5">
        <v>-415.13485301639111</v>
      </c>
      <c r="D69" s="5">
        <v>4744.2666681593073</v>
      </c>
      <c r="E69" s="5">
        <v>-8.750242809969537E-2</v>
      </c>
      <c r="F69" s="5" t="s">
        <v>12</v>
      </c>
      <c r="G69" s="5"/>
    </row>
    <row r="70" spans="1:16" x14ac:dyDescent="0.35">
      <c r="A70" s="8" t="s">
        <v>98</v>
      </c>
      <c r="B70" s="4" t="s">
        <v>20</v>
      </c>
      <c r="C70" s="5">
        <v>1170.084567508487</v>
      </c>
      <c r="D70" s="5">
        <v>1373.299980696034</v>
      </c>
      <c r="E70" s="5">
        <v>0.85202401802660022</v>
      </c>
      <c r="F70" s="5" t="s">
        <v>12</v>
      </c>
      <c r="G70" s="5"/>
    </row>
    <row r="71" spans="1:16" x14ac:dyDescent="0.35">
      <c r="A71" s="8" t="s">
        <v>98</v>
      </c>
      <c r="B71" s="7" t="s">
        <v>25</v>
      </c>
      <c r="C71">
        <v>4.2485619929614238</v>
      </c>
      <c r="D71">
        <v>0.59652857850067853</v>
      </c>
      <c r="E71">
        <v>7.1221432569748897</v>
      </c>
      <c r="F71" t="s">
        <v>14</v>
      </c>
    </row>
    <row r="72" spans="1:16" x14ac:dyDescent="0.35">
      <c r="A72" s="8" t="s">
        <v>98</v>
      </c>
      <c r="B72" s="7" t="s">
        <v>29</v>
      </c>
      <c r="C72">
        <v>-119794.19001952421</v>
      </c>
      <c r="D72">
        <v>34973.347446055457</v>
      </c>
      <c r="E72">
        <v>-3.4252995142744189</v>
      </c>
      <c r="F72" t="s">
        <v>14</v>
      </c>
    </row>
    <row r="73" spans="1:16" x14ac:dyDescent="0.35">
      <c r="A73" s="8" t="s">
        <v>98</v>
      </c>
      <c r="B73" s="7" t="s">
        <v>31</v>
      </c>
      <c r="C73">
        <v>-4.1781440035086419</v>
      </c>
      <c r="D73">
        <v>0.77519442683062689</v>
      </c>
      <c r="E73">
        <v>-5.3898013954911077</v>
      </c>
      <c r="F73" t="s">
        <v>14</v>
      </c>
    </row>
    <row r="74" spans="1:16" x14ac:dyDescent="0.35">
      <c r="A74" s="6" t="s">
        <v>105</v>
      </c>
      <c r="B74" s="7" t="s">
        <v>11</v>
      </c>
      <c r="C74">
        <v>2996.0767704209779</v>
      </c>
      <c r="D74">
        <v>813.06544310207823</v>
      </c>
      <c r="E74">
        <v>3.6849146595015578</v>
      </c>
      <c r="F74" t="s">
        <v>14</v>
      </c>
    </row>
    <row r="75" spans="1:16" x14ac:dyDescent="0.35">
      <c r="A75" s="6" t="s">
        <v>105</v>
      </c>
      <c r="B75" s="4" t="s">
        <v>19</v>
      </c>
      <c r="C75" s="5">
        <v>5529.5406555199534</v>
      </c>
      <c r="D75" s="5">
        <v>4363.3659587300781</v>
      </c>
      <c r="E75" s="5">
        <v>1.2672649298316661</v>
      </c>
      <c r="F75" s="5" t="s">
        <v>12</v>
      </c>
      <c r="G75" s="5"/>
    </row>
    <row r="76" spans="1:16" x14ac:dyDescent="0.35">
      <c r="A76" s="6" t="s">
        <v>105</v>
      </c>
      <c r="B76" s="4" t="s">
        <v>20</v>
      </c>
      <c r="C76" s="5">
        <v>-2044.1722868944551</v>
      </c>
      <c r="D76" s="5">
        <v>1393.035982359869</v>
      </c>
      <c r="E76" s="5">
        <v>-1.467422459132413</v>
      </c>
      <c r="F76" s="5" t="s">
        <v>12</v>
      </c>
      <c r="G76" s="5"/>
    </row>
    <row r="77" spans="1:16" x14ac:dyDescent="0.35">
      <c r="A77" s="6" t="s">
        <v>105</v>
      </c>
      <c r="B77" s="4" t="s">
        <v>25</v>
      </c>
      <c r="C77" s="5">
        <v>1.04892309046886</v>
      </c>
      <c r="D77" s="5">
        <v>0.74461744423288267</v>
      </c>
      <c r="E77" s="5">
        <v>1.408673807728851</v>
      </c>
      <c r="F77" s="5" t="s">
        <v>12</v>
      </c>
      <c r="G77" s="5"/>
    </row>
    <row r="78" spans="1:16" x14ac:dyDescent="0.35">
      <c r="A78" s="6" t="s">
        <v>105</v>
      </c>
      <c r="B78" s="4" t="s">
        <v>29</v>
      </c>
      <c r="C78" s="5">
        <v>74823.509884358034</v>
      </c>
      <c r="D78" s="5">
        <v>53114.569854902067</v>
      </c>
      <c r="E78" s="5">
        <v>1.4087191158426069</v>
      </c>
      <c r="F78" s="5" t="s">
        <v>12</v>
      </c>
      <c r="G78" s="5"/>
    </row>
    <row r="79" spans="1:16" x14ac:dyDescent="0.35">
      <c r="A79" s="6" t="s">
        <v>105</v>
      </c>
      <c r="B79" s="7" t="s">
        <v>31</v>
      </c>
      <c r="C79">
        <v>-2.0473293302083109</v>
      </c>
      <c r="D79">
        <v>0.50405360990814785</v>
      </c>
      <c r="E79">
        <v>-4.0617293279208733</v>
      </c>
      <c r="F79" t="s">
        <v>14</v>
      </c>
    </row>
    <row r="80" spans="1:16" x14ac:dyDescent="0.35">
      <c r="A80" s="6" t="s">
        <v>109</v>
      </c>
      <c r="B80" s="4" t="s">
        <v>11</v>
      </c>
      <c r="C80" s="5">
        <v>860.35116212568471</v>
      </c>
      <c r="D80" s="5">
        <v>1523.873304008391</v>
      </c>
      <c r="E80" s="5">
        <v>0.56458181914639483</v>
      </c>
      <c r="F80" s="5" t="s">
        <v>12</v>
      </c>
      <c r="G80" s="5"/>
    </row>
    <row r="81" spans="1:7" x14ac:dyDescent="0.35">
      <c r="A81" s="6" t="s">
        <v>109</v>
      </c>
      <c r="B81" s="7" t="s">
        <v>19</v>
      </c>
      <c r="C81">
        <v>14234.254803045809</v>
      </c>
      <c r="D81">
        <v>7022.2322051443134</v>
      </c>
      <c r="E81">
        <v>2.0270270744704439</v>
      </c>
      <c r="F81" t="s">
        <v>14</v>
      </c>
    </row>
    <row r="82" spans="1:7" x14ac:dyDescent="0.35">
      <c r="A82" s="6" t="s">
        <v>109</v>
      </c>
      <c r="B82" s="4" t="s">
        <v>20</v>
      </c>
      <c r="C82" s="5">
        <v>-1424.5432301780161</v>
      </c>
      <c r="D82" s="5">
        <v>953.54217428815241</v>
      </c>
      <c r="E82" s="5">
        <v>-1.4939488452532059</v>
      </c>
      <c r="F82" s="5" t="s">
        <v>12</v>
      </c>
      <c r="G82" s="5"/>
    </row>
    <row r="83" spans="1:7" x14ac:dyDescent="0.35">
      <c r="A83" s="6" t="s">
        <v>109</v>
      </c>
      <c r="B83" s="4" t="s">
        <v>25</v>
      </c>
      <c r="C83" s="5">
        <v>0.54340155125611567</v>
      </c>
      <c r="D83" s="5">
        <v>1.551358742386568</v>
      </c>
      <c r="E83" s="5">
        <v>0.35027459246477172</v>
      </c>
      <c r="F83" s="5" t="s">
        <v>12</v>
      </c>
      <c r="G83" s="5"/>
    </row>
    <row r="84" spans="1:7" x14ac:dyDescent="0.35">
      <c r="A84" s="6" t="s">
        <v>109</v>
      </c>
      <c r="B84" s="4" t="s">
        <v>29</v>
      </c>
      <c r="C84" s="5">
        <v>126311.9736264511</v>
      </c>
      <c r="D84" s="5">
        <v>82862.084920287583</v>
      </c>
      <c r="E84" s="5">
        <v>1.524363932526702</v>
      </c>
      <c r="F84" s="5" t="s">
        <v>12</v>
      </c>
      <c r="G84" s="5"/>
    </row>
    <row r="85" spans="1:7" x14ac:dyDescent="0.35">
      <c r="A85" s="6" t="s">
        <v>109</v>
      </c>
      <c r="B85" s="7" t="s">
        <v>31</v>
      </c>
      <c r="C85">
        <v>-1.648025653588252</v>
      </c>
      <c r="D85">
        <v>0.80008644136194307</v>
      </c>
      <c r="E85">
        <v>-2.0598095010620461</v>
      </c>
      <c r="F85" t="s">
        <v>14</v>
      </c>
    </row>
    <row r="86" spans="1:7" x14ac:dyDescent="0.35">
      <c r="A86" s="6" t="s">
        <v>110</v>
      </c>
      <c r="B86" s="4" t="s">
        <v>11</v>
      </c>
      <c r="C86" s="5">
        <v>1400.2194922719179</v>
      </c>
      <c r="D86" s="5">
        <v>2509.6384694838912</v>
      </c>
      <c r="E86" s="5">
        <v>0.55793673443325642</v>
      </c>
      <c r="F86" s="5" t="s">
        <v>12</v>
      </c>
      <c r="G86" s="5"/>
    </row>
    <row r="87" spans="1:7" x14ac:dyDescent="0.35">
      <c r="A87" s="6" t="s">
        <v>110</v>
      </c>
      <c r="B87" s="4" t="s">
        <v>19</v>
      </c>
      <c r="C87" s="5">
        <v>-4942.7037309385896</v>
      </c>
      <c r="D87" s="5">
        <v>9480.3855413155652</v>
      </c>
      <c r="E87" s="5">
        <v>-0.52136104691083118</v>
      </c>
      <c r="F87" s="5" t="s">
        <v>12</v>
      </c>
      <c r="G87" s="5"/>
    </row>
    <row r="88" spans="1:7" x14ac:dyDescent="0.35">
      <c r="A88" s="6" t="s">
        <v>110</v>
      </c>
      <c r="B88" s="4" t="s">
        <v>20</v>
      </c>
      <c r="C88" s="5">
        <v>-4525.4847872045739</v>
      </c>
      <c r="D88" s="5">
        <v>5049.863891072403</v>
      </c>
      <c r="E88" s="5">
        <v>-0.89615975495995581</v>
      </c>
      <c r="F88" s="5" t="s">
        <v>12</v>
      </c>
      <c r="G88" s="5"/>
    </row>
    <row r="89" spans="1:7" x14ac:dyDescent="0.35">
      <c r="A89" s="6" t="s">
        <v>110</v>
      </c>
      <c r="B89" s="4" t="s">
        <v>25</v>
      </c>
      <c r="C89" s="5">
        <v>2.6363313289730201</v>
      </c>
      <c r="D89" s="5">
        <v>1.534862072512269</v>
      </c>
      <c r="E89" s="5">
        <v>1.717634031218102</v>
      </c>
      <c r="F89" s="5" t="s">
        <v>12</v>
      </c>
      <c r="G89" s="5"/>
    </row>
    <row r="90" spans="1:7" x14ac:dyDescent="0.35">
      <c r="A90" s="6" t="s">
        <v>110</v>
      </c>
      <c r="B90" s="4" t="s">
        <v>29</v>
      </c>
      <c r="C90" s="5">
        <v>87275.636389785941</v>
      </c>
      <c r="D90" s="5">
        <v>70540.574279577238</v>
      </c>
      <c r="E90" s="5">
        <v>1.237240230620773</v>
      </c>
      <c r="F90" s="5" t="s">
        <v>12</v>
      </c>
      <c r="G90" s="5"/>
    </row>
    <row r="91" spans="1:7" x14ac:dyDescent="0.35">
      <c r="A91" s="6" t="s">
        <v>110</v>
      </c>
      <c r="B91" s="7" t="s">
        <v>31</v>
      </c>
      <c r="C91">
        <v>-1.5291553373215181</v>
      </c>
      <c r="D91">
        <v>0.72294820200983434</v>
      </c>
      <c r="E91">
        <v>-2.115165834938638</v>
      </c>
      <c r="F91" t="s">
        <v>14</v>
      </c>
    </row>
    <row r="92" spans="1:7" ht="34.5" x14ac:dyDescent="0.35">
      <c r="A92" s="9" t="s">
        <v>111</v>
      </c>
      <c r="B92" s="4" t="s">
        <v>11</v>
      </c>
      <c r="C92" s="5">
        <v>-411.72728430032498</v>
      </c>
      <c r="D92" s="5">
        <v>1928.228473199792</v>
      </c>
      <c r="E92" s="5">
        <v>-0.21352619257669489</v>
      </c>
      <c r="F92" s="5" t="s">
        <v>12</v>
      </c>
      <c r="G92" s="5"/>
    </row>
    <row r="93" spans="1:7" ht="34.5" x14ac:dyDescent="0.35">
      <c r="A93" s="9" t="s">
        <v>111</v>
      </c>
      <c r="B93" s="4" t="s">
        <v>19</v>
      </c>
      <c r="C93" s="5">
        <v>7058.7042257602361</v>
      </c>
      <c r="D93" s="5">
        <v>8767.2336790556892</v>
      </c>
      <c r="E93" s="5">
        <v>0.80512331302666074</v>
      </c>
      <c r="F93" s="5" t="s">
        <v>12</v>
      </c>
      <c r="G93" s="5"/>
    </row>
    <row r="94" spans="1:7" ht="34.5" x14ac:dyDescent="0.35">
      <c r="A94" s="9" t="s">
        <v>111</v>
      </c>
      <c r="B94" s="4" t="s">
        <v>20</v>
      </c>
      <c r="C94" s="5">
        <v>462.14021197601301</v>
      </c>
      <c r="D94" s="5">
        <v>3733.70845638832</v>
      </c>
      <c r="E94" s="5">
        <v>0.123775119930775</v>
      </c>
      <c r="F94" s="5" t="s">
        <v>12</v>
      </c>
      <c r="G94" s="5"/>
    </row>
    <row r="95" spans="1:7" ht="34.5" x14ac:dyDescent="0.35">
      <c r="A95" s="9" t="s">
        <v>111</v>
      </c>
      <c r="B95" s="4" t="s">
        <v>25</v>
      </c>
      <c r="C95" s="5">
        <v>4.689783821987425</v>
      </c>
      <c r="D95" s="5">
        <v>3.1289304528480582</v>
      </c>
      <c r="E95" s="5">
        <v>1.4988456575372671</v>
      </c>
      <c r="F95" s="5" t="s">
        <v>12</v>
      </c>
      <c r="G95" s="5"/>
    </row>
    <row r="96" spans="1:7" ht="34.5" x14ac:dyDescent="0.35">
      <c r="A96" s="9" t="s">
        <v>111</v>
      </c>
      <c r="B96" s="4" t="s">
        <v>29</v>
      </c>
      <c r="C96" s="5">
        <v>36893.163782163443</v>
      </c>
      <c r="D96" s="5">
        <v>109234.5289378239</v>
      </c>
      <c r="E96" s="5">
        <v>0.33774269126168849</v>
      </c>
      <c r="F96" s="5" t="s">
        <v>12</v>
      </c>
      <c r="G96" s="5"/>
    </row>
    <row r="97" spans="1:7" ht="34.5" x14ac:dyDescent="0.35">
      <c r="A97" s="9" t="s">
        <v>111</v>
      </c>
      <c r="B97" s="7" t="s">
        <v>31</v>
      </c>
      <c r="C97">
        <v>-2.147573702224145</v>
      </c>
      <c r="D97">
        <v>0.93362151085527556</v>
      </c>
      <c r="E97">
        <v>-2.3002615912917288</v>
      </c>
      <c r="F97" t="s">
        <v>14</v>
      </c>
    </row>
    <row r="98" spans="1:7" x14ac:dyDescent="0.35">
      <c r="A98" s="6" t="s">
        <v>112</v>
      </c>
      <c r="B98" s="4" t="s">
        <v>11</v>
      </c>
      <c r="C98" s="5">
        <v>93.249739235062492</v>
      </c>
      <c r="D98" s="5">
        <v>418.67834004136961</v>
      </c>
      <c r="E98" s="5">
        <v>0.22272405882245661</v>
      </c>
      <c r="F98" s="5" t="s">
        <v>12</v>
      </c>
      <c r="G98" s="5"/>
    </row>
    <row r="99" spans="1:7" x14ac:dyDescent="0.35">
      <c r="A99" s="6" t="s">
        <v>112</v>
      </c>
      <c r="B99" s="7" t="s">
        <v>19</v>
      </c>
      <c r="C99">
        <v>2847.2672539509599</v>
      </c>
      <c r="D99">
        <v>1432.9658974496151</v>
      </c>
      <c r="E99">
        <v>1.986974888249966</v>
      </c>
      <c r="F99" t="s">
        <v>14</v>
      </c>
    </row>
    <row r="100" spans="1:7" x14ac:dyDescent="0.35">
      <c r="A100" s="6" t="s">
        <v>112</v>
      </c>
      <c r="B100" s="4" t="s">
        <v>20</v>
      </c>
      <c r="C100" s="5">
        <v>-343.88632415578991</v>
      </c>
      <c r="D100" s="5">
        <v>1999.418099358785</v>
      </c>
      <c r="E100" s="5">
        <v>-0.17199320355561179</v>
      </c>
      <c r="F100" s="5" t="s">
        <v>12</v>
      </c>
      <c r="G100" s="5"/>
    </row>
    <row r="101" spans="1:7" x14ac:dyDescent="0.35">
      <c r="A101" s="6" t="s">
        <v>112</v>
      </c>
      <c r="B101" s="4" t="s">
        <v>25</v>
      </c>
      <c r="C101" s="5">
        <v>0.90527967399651177</v>
      </c>
      <c r="D101" s="5">
        <v>1.1717662296467879</v>
      </c>
      <c r="E101" s="5">
        <v>0.77257703037695069</v>
      </c>
      <c r="F101" s="5" t="s">
        <v>12</v>
      </c>
      <c r="G101" s="5"/>
    </row>
    <row r="102" spans="1:7" x14ac:dyDescent="0.35">
      <c r="A102" s="6" t="s">
        <v>112</v>
      </c>
      <c r="B102" s="4" t="s">
        <v>29</v>
      </c>
      <c r="C102" s="5">
        <v>-2082.93162735441</v>
      </c>
      <c r="D102" s="5">
        <v>9395.7517270480857</v>
      </c>
      <c r="E102" s="5">
        <v>-0.22168866184045241</v>
      </c>
      <c r="F102" s="5" t="s">
        <v>12</v>
      </c>
      <c r="G102" s="5"/>
    </row>
    <row r="103" spans="1:7" x14ac:dyDescent="0.35">
      <c r="A103" s="6" t="s">
        <v>112</v>
      </c>
      <c r="B103" s="4" t="s">
        <v>31</v>
      </c>
      <c r="C103" s="5">
        <v>0.18302655133472509</v>
      </c>
      <c r="D103" s="5">
        <v>4.6587186513533734</v>
      </c>
      <c r="E103" s="5">
        <v>3.9286886595213323E-2</v>
      </c>
      <c r="F103" s="5" t="s">
        <v>12</v>
      </c>
      <c r="G103" s="5"/>
    </row>
    <row r="104" spans="1:7" x14ac:dyDescent="0.35">
      <c r="A104" s="6" t="s">
        <v>113</v>
      </c>
      <c r="B104" s="4" t="s">
        <v>11</v>
      </c>
      <c r="C104" s="5">
        <v>341.4098001317484</v>
      </c>
      <c r="D104" s="5">
        <v>1671.1038122257939</v>
      </c>
      <c r="E104" s="5">
        <v>0.2043019695329486</v>
      </c>
      <c r="F104" s="5" t="s">
        <v>12</v>
      </c>
      <c r="G104" s="5"/>
    </row>
    <row r="105" spans="1:7" x14ac:dyDescent="0.35">
      <c r="A105" s="6" t="s">
        <v>113</v>
      </c>
      <c r="B105" s="4" t="s">
        <v>19</v>
      </c>
      <c r="C105" s="5">
        <v>2533.107535651925</v>
      </c>
      <c r="D105" s="5">
        <v>8720.3021006165818</v>
      </c>
      <c r="E105" s="5">
        <v>0.29048391975695631</v>
      </c>
      <c r="F105" s="5" t="s">
        <v>12</v>
      </c>
      <c r="G105" s="5"/>
    </row>
    <row r="106" spans="1:7" x14ac:dyDescent="0.35">
      <c r="A106" s="6" t="s">
        <v>113</v>
      </c>
      <c r="B106" s="4" t="s">
        <v>20</v>
      </c>
      <c r="C106" s="5">
        <v>3496.998826943629</v>
      </c>
      <c r="D106" s="5">
        <v>10232.85167897363</v>
      </c>
      <c r="E106" s="5">
        <v>0.34174235459009239</v>
      </c>
      <c r="F106" s="5" t="s">
        <v>12</v>
      </c>
      <c r="G106" s="5"/>
    </row>
    <row r="107" spans="1:7" x14ac:dyDescent="0.35">
      <c r="A107" s="6" t="s">
        <v>113</v>
      </c>
      <c r="B107" s="7" t="s">
        <v>25</v>
      </c>
      <c r="C107">
        <v>4.7451782880955156</v>
      </c>
      <c r="D107">
        <v>1.647634589683507</v>
      </c>
      <c r="E107">
        <v>2.8799943372195251</v>
      </c>
      <c r="F107" t="s">
        <v>14</v>
      </c>
    </row>
    <row r="108" spans="1:7" x14ac:dyDescent="0.35">
      <c r="A108" s="6" t="s">
        <v>113</v>
      </c>
      <c r="B108" s="4" t="s">
        <v>29</v>
      </c>
      <c r="C108" s="5">
        <v>68879.045067422281</v>
      </c>
      <c r="D108" s="5">
        <v>71484.938141273757</v>
      </c>
      <c r="E108" s="5">
        <v>0.96354626384789588</v>
      </c>
      <c r="F108" s="5" t="s">
        <v>12</v>
      </c>
      <c r="G108" s="5"/>
    </row>
    <row r="109" spans="1:7" x14ac:dyDescent="0.35">
      <c r="A109" s="6" t="s">
        <v>113</v>
      </c>
      <c r="B109" s="4" t="s">
        <v>31</v>
      </c>
      <c r="C109" s="5">
        <v>14.23483090202155</v>
      </c>
      <c r="D109" s="5">
        <v>18.5699091202098</v>
      </c>
      <c r="E109" s="5">
        <v>0.76655361153758472</v>
      </c>
      <c r="F109" s="5" t="s">
        <v>12</v>
      </c>
      <c r="G109" s="5"/>
    </row>
    <row r="110" spans="1:7" x14ac:dyDescent="0.35">
      <c r="A110" s="6" t="s">
        <v>114</v>
      </c>
      <c r="B110" s="4" t="s">
        <v>11</v>
      </c>
      <c r="C110" s="5">
        <v>-50.759031484641127</v>
      </c>
      <c r="D110" s="5">
        <v>81.540334083299669</v>
      </c>
      <c r="E110" s="5">
        <v>-0.62250212799946225</v>
      </c>
      <c r="F110" s="5" t="s">
        <v>12</v>
      </c>
      <c r="G110" s="5"/>
    </row>
    <row r="111" spans="1:7" x14ac:dyDescent="0.35">
      <c r="A111" s="6" t="s">
        <v>114</v>
      </c>
      <c r="B111" s="4" t="s">
        <v>19</v>
      </c>
      <c r="C111" s="5">
        <v>-2581.0636135075861</v>
      </c>
      <c r="D111" s="5">
        <v>1723.853434566875</v>
      </c>
      <c r="E111" s="5">
        <v>-1.4972639562922521</v>
      </c>
      <c r="F111" s="5" t="s">
        <v>12</v>
      </c>
      <c r="G111" s="5"/>
    </row>
    <row r="112" spans="1:7" x14ac:dyDescent="0.35">
      <c r="A112" s="6" t="s">
        <v>114</v>
      </c>
      <c r="B112" s="7" t="s">
        <v>20</v>
      </c>
      <c r="C112">
        <v>-719.19054934461735</v>
      </c>
      <c r="D112">
        <v>241.26617737095259</v>
      </c>
      <c r="E112">
        <v>-2.9809008340147249</v>
      </c>
      <c r="F112" t="s">
        <v>14</v>
      </c>
    </row>
    <row r="113" spans="1:7" x14ac:dyDescent="0.35">
      <c r="A113" s="6" t="s">
        <v>114</v>
      </c>
      <c r="B113" s="7" t="s">
        <v>25</v>
      </c>
      <c r="C113">
        <v>4.1378989951927627</v>
      </c>
      <c r="D113">
        <v>1.2403830205285229</v>
      </c>
      <c r="E113">
        <v>3.3359848745991521</v>
      </c>
      <c r="F113" t="s">
        <v>14</v>
      </c>
    </row>
    <row r="114" spans="1:7" x14ac:dyDescent="0.35">
      <c r="A114" s="6" t="s">
        <v>114</v>
      </c>
      <c r="B114" s="4" t="s">
        <v>29</v>
      </c>
      <c r="C114" s="5">
        <v>-9746.6153070091623</v>
      </c>
      <c r="D114" s="5">
        <v>4959.6893904606268</v>
      </c>
      <c r="E114" s="5">
        <v>-1.9651664730770479</v>
      </c>
      <c r="F114" s="5" t="s">
        <v>12</v>
      </c>
      <c r="G114" s="5"/>
    </row>
    <row r="115" spans="1:7" x14ac:dyDescent="0.35">
      <c r="A115" s="6" t="s">
        <v>114</v>
      </c>
      <c r="B115" s="7" t="s">
        <v>31</v>
      </c>
      <c r="C115">
        <v>10.27201969290582</v>
      </c>
      <c r="D115">
        <v>2.529908407884355</v>
      </c>
      <c r="E115">
        <v>4.0602338254197257</v>
      </c>
      <c r="F115" t="s">
        <v>14</v>
      </c>
    </row>
    <row r="116" spans="1:7" x14ac:dyDescent="0.35">
      <c r="A116" s="6" t="s">
        <v>115</v>
      </c>
      <c r="B116" s="7" t="s">
        <v>11</v>
      </c>
      <c r="C116">
        <v>317.10733977708401</v>
      </c>
      <c r="D116">
        <v>71.091099007663786</v>
      </c>
      <c r="E116">
        <v>4.4605772621815722</v>
      </c>
      <c r="F116" t="s">
        <v>14</v>
      </c>
    </row>
    <row r="117" spans="1:7" x14ac:dyDescent="0.35">
      <c r="A117" s="6" t="s">
        <v>115</v>
      </c>
      <c r="B117" s="7" t="s">
        <v>19</v>
      </c>
      <c r="C117">
        <v>-527.59294798160022</v>
      </c>
      <c r="D117">
        <v>239.8055124385325</v>
      </c>
      <c r="E117">
        <v>-2.2000868229283679</v>
      </c>
      <c r="F117" t="s">
        <v>14</v>
      </c>
    </row>
    <row r="118" spans="1:7" x14ac:dyDescent="0.35">
      <c r="A118" s="6" t="s">
        <v>115</v>
      </c>
      <c r="B118" s="7" t="s">
        <v>20</v>
      </c>
      <c r="C118">
        <v>-858.4844793997903</v>
      </c>
      <c r="D118">
        <v>105.90087061879331</v>
      </c>
      <c r="E118">
        <v>-8.106491234524773</v>
      </c>
      <c r="F118" t="s">
        <v>14</v>
      </c>
    </row>
    <row r="119" spans="1:7" x14ac:dyDescent="0.35">
      <c r="A119" s="6" t="s">
        <v>115</v>
      </c>
      <c r="B119" s="7" t="s">
        <v>25</v>
      </c>
      <c r="C119">
        <v>-0.2961127352982923</v>
      </c>
      <c r="D119">
        <v>4.749619938055015E-2</v>
      </c>
      <c r="E119">
        <v>-6.2344511594658547</v>
      </c>
      <c r="F119" t="s">
        <v>14</v>
      </c>
    </row>
    <row r="120" spans="1:7" x14ac:dyDescent="0.35">
      <c r="A120" s="6" t="s">
        <v>115</v>
      </c>
      <c r="B120" s="7" t="s">
        <v>29</v>
      </c>
      <c r="C120">
        <v>7268.4576094075219</v>
      </c>
      <c r="D120">
        <v>977.99165868688317</v>
      </c>
      <c r="E120">
        <v>7.432024133177821</v>
      </c>
      <c r="F120" t="s">
        <v>14</v>
      </c>
    </row>
    <row r="121" spans="1:7" x14ac:dyDescent="0.35">
      <c r="A121" s="6" t="s">
        <v>115</v>
      </c>
      <c r="B121" s="7" t="s">
        <v>31</v>
      </c>
      <c r="C121">
        <v>-0.59274014537649977</v>
      </c>
      <c r="D121">
        <v>0.15582224967341141</v>
      </c>
      <c r="E121">
        <v>-3.803950633615075</v>
      </c>
      <c r="F121" t="s">
        <v>14</v>
      </c>
    </row>
    <row r="122" spans="1:7" x14ac:dyDescent="0.35">
      <c r="A122" s="6" t="s">
        <v>116</v>
      </c>
      <c r="B122" s="7" t="s">
        <v>11</v>
      </c>
      <c r="C122">
        <v>379.89672985327218</v>
      </c>
      <c r="D122">
        <v>187.32722143550461</v>
      </c>
      <c r="E122">
        <v>2.027984651360816</v>
      </c>
      <c r="F122" t="s">
        <v>14</v>
      </c>
    </row>
    <row r="123" spans="1:7" x14ac:dyDescent="0.35">
      <c r="A123" s="6" t="s">
        <v>116</v>
      </c>
      <c r="B123" s="4" t="s">
        <v>19</v>
      </c>
      <c r="C123" s="5">
        <v>1706.64524065718</v>
      </c>
      <c r="D123" s="5">
        <v>1481.7251441838359</v>
      </c>
      <c r="E123" s="5">
        <v>1.151796098862339</v>
      </c>
      <c r="F123" s="5" t="s">
        <v>12</v>
      </c>
      <c r="G123" s="5"/>
    </row>
    <row r="124" spans="1:7" x14ac:dyDescent="0.35">
      <c r="A124" s="6" t="s">
        <v>116</v>
      </c>
      <c r="B124" s="4" t="s">
        <v>20</v>
      </c>
      <c r="C124" s="5">
        <v>-2475.8066903634858</v>
      </c>
      <c r="D124" s="5">
        <v>1256.341466164112</v>
      </c>
      <c r="E124" s="5">
        <v>-1.970647914633169</v>
      </c>
      <c r="F124" s="5" t="s">
        <v>12</v>
      </c>
      <c r="G124" s="5"/>
    </row>
    <row r="125" spans="1:7" x14ac:dyDescent="0.35">
      <c r="A125" s="6" t="s">
        <v>116</v>
      </c>
      <c r="B125" s="4" t="s">
        <v>25</v>
      </c>
      <c r="C125" s="5">
        <v>-5.6204329297698349E-2</v>
      </c>
      <c r="D125" s="5">
        <v>0.1157419399309742</v>
      </c>
      <c r="E125" s="5">
        <v>-0.48560037382488419</v>
      </c>
      <c r="F125" s="5" t="s">
        <v>12</v>
      </c>
      <c r="G125" s="5"/>
    </row>
    <row r="126" spans="1:7" x14ac:dyDescent="0.35">
      <c r="A126" s="6" t="s">
        <v>116</v>
      </c>
      <c r="B126" s="4" t="s">
        <v>29</v>
      </c>
      <c r="C126" s="5">
        <v>-7350.8033364439198</v>
      </c>
      <c r="D126" s="5">
        <v>7251.1600323240091</v>
      </c>
      <c r="E126" s="5">
        <v>-1.0137417052824269</v>
      </c>
      <c r="F126" s="5" t="s">
        <v>12</v>
      </c>
      <c r="G126" s="5"/>
    </row>
    <row r="127" spans="1:7" x14ac:dyDescent="0.35">
      <c r="A127" s="6" t="s">
        <v>116</v>
      </c>
      <c r="B127" s="4" t="s">
        <v>31</v>
      </c>
      <c r="C127" s="5">
        <v>-8.3909424496198408</v>
      </c>
      <c r="D127" s="5">
        <v>5.6790822015473719</v>
      </c>
      <c r="E127" s="5">
        <v>-1.477517343794315</v>
      </c>
      <c r="F127" s="5" t="s">
        <v>12</v>
      </c>
      <c r="G127" s="5"/>
    </row>
    <row r="128" spans="1:7" x14ac:dyDescent="0.35">
      <c r="A128" s="6" t="s">
        <v>117</v>
      </c>
      <c r="B128" s="4" t="s">
        <v>11</v>
      </c>
      <c r="C128" s="5">
        <v>-797.40223495719897</v>
      </c>
      <c r="D128" s="5">
        <v>582.02680400005465</v>
      </c>
      <c r="E128" s="5">
        <v>-1.3700438355707141</v>
      </c>
      <c r="F128" s="5" t="s">
        <v>12</v>
      </c>
      <c r="G128" s="5"/>
    </row>
    <row r="129" spans="1:7" x14ac:dyDescent="0.35">
      <c r="A129" s="6" t="s">
        <v>117</v>
      </c>
      <c r="B129" s="4" t="s">
        <v>19</v>
      </c>
      <c r="C129" s="5">
        <v>1297.736829898093</v>
      </c>
      <c r="D129" s="5">
        <v>1705.348154935142</v>
      </c>
      <c r="E129" s="5">
        <v>0.76098058108694466</v>
      </c>
      <c r="F129" s="5" t="s">
        <v>12</v>
      </c>
      <c r="G129" s="5"/>
    </row>
    <row r="130" spans="1:7" x14ac:dyDescent="0.35">
      <c r="A130" s="6" t="s">
        <v>117</v>
      </c>
      <c r="B130" s="4" t="s">
        <v>20</v>
      </c>
      <c r="C130" s="5">
        <v>895.24677726403422</v>
      </c>
      <c r="D130" s="5">
        <v>626.36045417928722</v>
      </c>
      <c r="E130" s="5">
        <v>1.429283683685084</v>
      </c>
      <c r="F130" s="5" t="s">
        <v>12</v>
      </c>
      <c r="G130" s="5"/>
    </row>
    <row r="131" spans="1:7" x14ac:dyDescent="0.35">
      <c r="A131" s="6" t="s">
        <v>117</v>
      </c>
      <c r="B131" s="4" t="s">
        <v>25</v>
      </c>
      <c r="C131" s="5">
        <v>0.28752185333066488</v>
      </c>
      <c r="D131" s="5">
        <v>0.67437561063171902</v>
      </c>
      <c r="E131" s="5">
        <v>0.42635268654115438</v>
      </c>
      <c r="F131" s="5" t="s">
        <v>12</v>
      </c>
      <c r="G131" s="5"/>
    </row>
    <row r="132" spans="1:7" x14ac:dyDescent="0.35">
      <c r="A132" s="6" t="s">
        <v>117</v>
      </c>
      <c r="B132" s="7" t="s">
        <v>29</v>
      </c>
      <c r="C132">
        <v>67054.826632604425</v>
      </c>
      <c r="D132">
        <v>11707.438643085539</v>
      </c>
      <c r="E132">
        <v>5.7275402995348816</v>
      </c>
      <c r="F132" t="s">
        <v>14</v>
      </c>
    </row>
    <row r="133" spans="1:7" x14ac:dyDescent="0.35">
      <c r="A133" s="6" t="s">
        <v>117</v>
      </c>
      <c r="B133" s="7" t="s">
        <v>31</v>
      </c>
      <c r="C133">
        <v>21.081874053403229</v>
      </c>
      <c r="D133">
        <v>4.9973049096811302</v>
      </c>
      <c r="E133">
        <v>4.2186487385554452</v>
      </c>
      <c r="F133" t="s">
        <v>14</v>
      </c>
    </row>
    <row r="134" spans="1:7" x14ac:dyDescent="0.35">
      <c r="A134" s="6" t="s">
        <v>118</v>
      </c>
      <c r="B134" s="4" t="s">
        <v>11</v>
      </c>
      <c r="C134" s="5">
        <v>-755.04666420334956</v>
      </c>
      <c r="D134" s="5">
        <v>992.38224183816715</v>
      </c>
      <c r="E134" s="5">
        <v>-0.76084257896916185</v>
      </c>
      <c r="F134" s="5" t="s">
        <v>12</v>
      </c>
      <c r="G134" s="5"/>
    </row>
    <row r="135" spans="1:7" x14ac:dyDescent="0.35">
      <c r="A135" s="6" t="s">
        <v>118</v>
      </c>
      <c r="B135" s="4" t="s">
        <v>19</v>
      </c>
      <c r="C135" s="5">
        <v>13.52579854611419</v>
      </c>
      <c r="D135" s="5">
        <v>2287.6047747041671</v>
      </c>
      <c r="E135" s="5">
        <v>5.912646579373986E-3</v>
      </c>
      <c r="F135" s="5" t="s">
        <v>12</v>
      </c>
      <c r="G135" s="5"/>
    </row>
    <row r="136" spans="1:7" x14ac:dyDescent="0.35">
      <c r="A136" s="6" t="s">
        <v>118</v>
      </c>
      <c r="B136" s="4" t="s">
        <v>20</v>
      </c>
      <c r="C136" s="5">
        <v>-1034.8761480252781</v>
      </c>
      <c r="D136" s="5">
        <v>1180.394881521159</v>
      </c>
      <c r="E136" s="5">
        <v>-0.87672029439135368</v>
      </c>
      <c r="F136" s="5" t="s">
        <v>12</v>
      </c>
      <c r="G136" s="5"/>
    </row>
    <row r="137" spans="1:7" x14ac:dyDescent="0.35">
      <c r="A137" s="6" t="s">
        <v>118</v>
      </c>
      <c r="B137" s="4" t="s">
        <v>25</v>
      </c>
      <c r="C137" s="5">
        <v>-2.2949268627039938</v>
      </c>
      <c r="D137" s="5">
        <v>2.4579294888302901</v>
      </c>
      <c r="E137" s="5">
        <v>-0.93368295271811597</v>
      </c>
      <c r="F137" s="5" t="s">
        <v>12</v>
      </c>
      <c r="G137" s="5"/>
    </row>
    <row r="138" spans="1:7" x14ac:dyDescent="0.35">
      <c r="A138" s="6" t="s">
        <v>118</v>
      </c>
      <c r="B138" s="4" t="s">
        <v>29</v>
      </c>
      <c r="C138" s="5">
        <v>29522.36387023397</v>
      </c>
      <c r="D138" s="5">
        <v>19795.701041549299</v>
      </c>
      <c r="E138" s="5">
        <v>1.491352279379716</v>
      </c>
      <c r="F138" s="5" t="s">
        <v>12</v>
      </c>
      <c r="G138" s="5"/>
    </row>
    <row r="139" spans="1:7" x14ac:dyDescent="0.35">
      <c r="A139" s="6" t="s">
        <v>118</v>
      </c>
      <c r="B139" s="7" t="s">
        <v>31</v>
      </c>
      <c r="C139">
        <v>-7.1695943206833919</v>
      </c>
      <c r="D139">
        <v>2.138480721746904</v>
      </c>
      <c r="E139">
        <v>-3.3526579163297852</v>
      </c>
      <c r="F139" t="s">
        <v>14</v>
      </c>
    </row>
    <row r="140" spans="1:7" x14ac:dyDescent="0.35">
      <c r="A140" s="6" t="s">
        <v>119</v>
      </c>
      <c r="B140" s="7" t="s">
        <v>11</v>
      </c>
      <c r="C140">
        <v>-234.98907800886539</v>
      </c>
      <c r="D140">
        <v>115.2216286086519</v>
      </c>
      <c r="E140">
        <v>-2.0394528427210612</v>
      </c>
      <c r="F140" t="s">
        <v>14</v>
      </c>
    </row>
    <row r="141" spans="1:7" x14ac:dyDescent="0.35">
      <c r="A141" s="6" t="s">
        <v>119</v>
      </c>
      <c r="B141" s="4" t="s">
        <v>19</v>
      </c>
      <c r="C141" s="5">
        <v>-644.31883410545549</v>
      </c>
      <c r="D141" s="5">
        <v>759.92903575542266</v>
      </c>
      <c r="E141" s="5">
        <v>-0.84786710836092405</v>
      </c>
      <c r="F141" s="5" t="s">
        <v>12</v>
      </c>
      <c r="G141" s="5"/>
    </row>
    <row r="142" spans="1:7" x14ac:dyDescent="0.35">
      <c r="A142" s="6" t="s">
        <v>119</v>
      </c>
      <c r="B142" s="7" t="s">
        <v>20</v>
      </c>
      <c r="C142">
        <v>-193.62101521905129</v>
      </c>
      <c r="D142">
        <v>93.603016307803941</v>
      </c>
      <c r="E142">
        <v>-2.0685339303847692</v>
      </c>
      <c r="F142" t="s">
        <v>14</v>
      </c>
    </row>
    <row r="143" spans="1:7" x14ac:dyDescent="0.35">
      <c r="A143" s="6" t="s">
        <v>119</v>
      </c>
      <c r="B143" s="7" t="s">
        <v>25</v>
      </c>
      <c r="C143">
        <v>0.59211811831336758</v>
      </c>
      <c r="D143">
        <v>0.21400301547974609</v>
      </c>
      <c r="E143">
        <v>2.7668681069094911</v>
      </c>
      <c r="F143" t="s">
        <v>14</v>
      </c>
    </row>
    <row r="144" spans="1:7" x14ac:dyDescent="0.35">
      <c r="A144" s="6" t="s">
        <v>119</v>
      </c>
      <c r="B144" s="7" t="s">
        <v>29</v>
      </c>
      <c r="C144">
        <v>11147.86509014787</v>
      </c>
      <c r="D144">
        <v>4473.8944105721594</v>
      </c>
      <c r="E144">
        <v>2.4917586485288079</v>
      </c>
      <c r="F144" t="s">
        <v>14</v>
      </c>
    </row>
    <row r="145" spans="1:7" x14ac:dyDescent="0.35">
      <c r="A145" s="6" t="s">
        <v>119</v>
      </c>
      <c r="B145" s="4" t="s">
        <v>31</v>
      </c>
      <c r="C145" s="5">
        <v>-0.65963182745184745</v>
      </c>
      <c r="D145" s="5">
        <v>0.42962125521913608</v>
      </c>
      <c r="E145" s="5">
        <v>-1.535379871080611</v>
      </c>
      <c r="F145" s="5" t="s">
        <v>12</v>
      </c>
      <c r="G145" s="5"/>
    </row>
    <row r="146" spans="1:7" x14ac:dyDescent="0.35">
      <c r="A146" s="6" t="s">
        <v>120</v>
      </c>
      <c r="B146" s="4" t="s">
        <v>11</v>
      </c>
      <c r="C146" s="5">
        <v>167.59958134168889</v>
      </c>
      <c r="D146" s="5">
        <v>130.1261241911217</v>
      </c>
      <c r="E146" s="5">
        <v>1.2879779704767691</v>
      </c>
      <c r="F146" s="5" t="s">
        <v>12</v>
      </c>
      <c r="G146" s="5"/>
    </row>
    <row r="147" spans="1:7" x14ac:dyDescent="0.35">
      <c r="A147" s="6" t="s">
        <v>120</v>
      </c>
      <c r="B147" s="4" t="s">
        <v>19</v>
      </c>
      <c r="C147" s="5">
        <v>-498.64305983364898</v>
      </c>
      <c r="D147" s="5">
        <v>545.0107355871271</v>
      </c>
      <c r="E147" s="5">
        <v>-0.91492337173225169</v>
      </c>
      <c r="F147" s="5" t="s">
        <v>12</v>
      </c>
      <c r="G147" s="5"/>
    </row>
    <row r="148" spans="1:7" x14ac:dyDescent="0.35">
      <c r="A148" s="6" t="s">
        <v>120</v>
      </c>
      <c r="B148" s="4" t="s">
        <v>20</v>
      </c>
      <c r="C148" s="5">
        <v>-779.39840965700398</v>
      </c>
      <c r="D148" s="5">
        <v>460.17249115106978</v>
      </c>
      <c r="E148" s="5">
        <v>-1.693709260428468</v>
      </c>
      <c r="F148" s="5" t="s">
        <v>12</v>
      </c>
      <c r="G148" s="5"/>
    </row>
    <row r="149" spans="1:7" x14ac:dyDescent="0.35">
      <c r="A149" s="6" t="s">
        <v>120</v>
      </c>
      <c r="B149" s="4" t="s">
        <v>25</v>
      </c>
      <c r="C149" s="5">
        <v>-0.15901482286955479</v>
      </c>
      <c r="D149" s="5">
        <v>0.10933683084551039</v>
      </c>
      <c r="E149" s="5">
        <v>-1.454357343631425</v>
      </c>
      <c r="F149" s="5" t="s">
        <v>12</v>
      </c>
      <c r="G149" s="5"/>
    </row>
    <row r="150" spans="1:7" x14ac:dyDescent="0.35">
      <c r="A150" s="6" t="s">
        <v>120</v>
      </c>
      <c r="B150" s="7" t="s">
        <v>29</v>
      </c>
      <c r="C150">
        <v>8797.2904410035662</v>
      </c>
      <c r="D150">
        <v>3474.4022790321119</v>
      </c>
      <c r="E150">
        <v>2.5320298959319949</v>
      </c>
      <c r="F150" t="s">
        <v>14</v>
      </c>
    </row>
    <row r="151" spans="1:7" x14ac:dyDescent="0.35">
      <c r="A151" s="6" t="s">
        <v>120</v>
      </c>
      <c r="B151" s="7" t="s">
        <v>31</v>
      </c>
      <c r="C151">
        <v>-0.51239787267481884</v>
      </c>
      <c r="D151">
        <v>0.23263179181953811</v>
      </c>
      <c r="E151">
        <v>-2.2026132742523279</v>
      </c>
      <c r="F151" t="s">
        <v>14</v>
      </c>
    </row>
    <row r="152" spans="1:7" x14ac:dyDescent="0.35">
      <c r="A152" s="6" t="s">
        <v>121</v>
      </c>
      <c r="B152" s="4" t="s">
        <v>11</v>
      </c>
      <c r="C152" s="5">
        <v>-581.93115943407406</v>
      </c>
      <c r="D152" s="5">
        <v>518.25406134082391</v>
      </c>
      <c r="E152" s="5">
        <v>-1.122868497988236</v>
      </c>
      <c r="F152" s="5" t="s">
        <v>12</v>
      </c>
      <c r="G152" s="5"/>
    </row>
    <row r="153" spans="1:7" x14ac:dyDescent="0.35">
      <c r="A153" s="6" t="s">
        <v>121</v>
      </c>
      <c r="B153" s="7" t="s">
        <v>19</v>
      </c>
      <c r="C153">
        <v>-5849.9759285641076</v>
      </c>
      <c r="D153">
        <v>1982.9748832998259</v>
      </c>
      <c r="E153">
        <v>-2.9501008700772289</v>
      </c>
      <c r="F153" t="s">
        <v>14</v>
      </c>
    </row>
    <row r="154" spans="1:7" x14ac:dyDescent="0.35">
      <c r="A154" s="6" t="s">
        <v>121</v>
      </c>
      <c r="B154" s="7" t="s">
        <v>20</v>
      </c>
      <c r="C154">
        <v>-10557.891320294601</v>
      </c>
      <c r="D154">
        <v>1590.3862855546331</v>
      </c>
      <c r="E154">
        <v>-6.6385704002802237</v>
      </c>
      <c r="F154" t="s">
        <v>14</v>
      </c>
    </row>
    <row r="155" spans="1:7" x14ac:dyDescent="0.35">
      <c r="A155" s="6" t="s">
        <v>121</v>
      </c>
      <c r="B155" s="7" t="s">
        <v>25</v>
      </c>
      <c r="C155">
        <v>-1.912165998081111</v>
      </c>
      <c r="D155">
        <v>0.81364947559111034</v>
      </c>
      <c r="E155">
        <v>-2.350110281447594</v>
      </c>
      <c r="F155" t="s">
        <v>14</v>
      </c>
    </row>
    <row r="156" spans="1:7" x14ac:dyDescent="0.35">
      <c r="A156" s="6" t="s">
        <v>121</v>
      </c>
      <c r="B156" s="4" t="s">
        <v>29</v>
      </c>
      <c r="C156" s="5">
        <v>-31434.496910185058</v>
      </c>
      <c r="D156" s="5">
        <v>26630.500027797239</v>
      </c>
      <c r="E156" s="5">
        <v>-1.180394543000445</v>
      </c>
      <c r="F156" s="5" t="s">
        <v>12</v>
      </c>
      <c r="G156" s="5"/>
    </row>
    <row r="157" spans="1:7" x14ac:dyDescent="0.35">
      <c r="A157" s="6" t="s">
        <v>121</v>
      </c>
      <c r="B157" s="4" t="s">
        <v>31</v>
      </c>
      <c r="C157" s="5">
        <v>-3.175981538354371</v>
      </c>
      <c r="D157" s="5">
        <v>2.3688151785680018</v>
      </c>
      <c r="E157" s="5">
        <v>-1.3407468708784269</v>
      </c>
      <c r="F157" s="5" t="s">
        <v>12</v>
      </c>
      <c r="G157" s="5"/>
    </row>
    <row r="158" spans="1:7" x14ac:dyDescent="0.35">
      <c r="A158" s="3" t="s">
        <v>127</v>
      </c>
      <c r="B158" s="4" t="s">
        <v>11</v>
      </c>
      <c r="C158" s="5">
        <v>306.33486297552417</v>
      </c>
      <c r="D158" s="5">
        <v>1199.84961662458</v>
      </c>
      <c r="E158" s="5">
        <v>0.25531104792724463</v>
      </c>
      <c r="F158" s="5" t="s">
        <v>12</v>
      </c>
      <c r="G158" s="5"/>
    </row>
    <row r="159" spans="1:7" x14ac:dyDescent="0.35">
      <c r="A159" s="3" t="s">
        <v>127</v>
      </c>
      <c r="B159" s="4" t="s">
        <v>19</v>
      </c>
      <c r="C159" s="5">
        <v>4464.1851337362205</v>
      </c>
      <c r="D159" s="5">
        <v>4524.1275764137226</v>
      </c>
      <c r="E159" s="5">
        <v>0.98675049682727589</v>
      </c>
      <c r="F159" s="5" t="s">
        <v>12</v>
      </c>
      <c r="G159" s="5"/>
    </row>
    <row r="160" spans="1:7" x14ac:dyDescent="0.35">
      <c r="A160" s="3" t="s">
        <v>127</v>
      </c>
      <c r="B160" s="4" t="s">
        <v>20</v>
      </c>
      <c r="C160" s="5">
        <v>-7255.6730546683102</v>
      </c>
      <c r="D160" s="5">
        <v>4654.2146225231427</v>
      </c>
      <c r="E160" s="5">
        <v>-1.558946813401326</v>
      </c>
      <c r="F160" s="5" t="s">
        <v>12</v>
      </c>
      <c r="G160" s="5"/>
    </row>
    <row r="161" spans="1:7" x14ac:dyDescent="0.35">
      <c r="A161" s="3" t="s">
        <v>127</v>
      </c>
      <c r="B161" s="4" t="s">
        <v>25</v>
      </c>
      <c r="C161" s="5">
        <v>0.78653887531790789</v>
      </c>
      <c r="D161" s="5">
        <v>1.872248978031589</v>
      </c>
      <c r="E161" s="5">
        <v>0.42010378135970178</v>
      </c>
      <c r="F161" s="5" t="s">
        <v>12</v>
      </c>
      <c r="G161" s="5"/>
    </row>
    <row r="162" spans="1:7" x14ac:dyDescent="0.35">
      <c r="A162" s="3" t="s">
        <v>127</v>
      </c>
      <c r="B162" s="4" t="s">
        <v>29</v>
      </c>
      <c r="C162" s="5">
        <v>141210.36512582909</v>
      </c>
      <c r="D162" s="5">
        <v>79363.420209224831</v>
      </c>
      <c r="E162" s="5">
        <v>1.779287797244095</v>
      </c>
      <c r="F162" s="5" t="s">
        <v>12</v>
      </c>
      <c r="G162" s="5"/>
    </row>
    <row r="163" spans="1:7" x14ac:dyDescent="0.35">
      <c r="A163" s="3" t="s">
        <v>127</v>
      </c>
      <c r="B163" s="4" t="s">
        <v>31</v>
      </c>
      <c r="C163" s="5">
        <v>-4.0427930842157389</v>
      </c>
      <c r="D163" s="5">
        <v>2.6470199180488572</v>
      </c>
      <c r="E163" s="5">
        <v>-1.5272998350521361</v>
      </c>
      <c r="F163" s="5" t="s">
        <v>12</v>
      </c>
      <c r="G163" s="5"/>
    </row>
    <row r="164" spans="1:7" x14ac:dyDescent="0.35">
      <c r="A164" s="6" t="s">
        <v>122</v>
      </c>
      <c r="B164" s="4" t="s">
        <v>11</v>
      </c>
      <c r="C164" s="5">
        <v>-125.2623731463609</v>
      </c>
      <c r="D164" s="5">
        <v>541.9410173950281</v>
      </c>
      <c r="E164" s="5">
        <v>-0.23113654277077081</v>
      </c>
      <c r="F164" s="5" t="s">
        <v>12</v>
      </c>
      <c r="G164" s="5"/>
    </row>
    <row r="165" spans="1:7" x14ac:dyDescent="0.35">
      <c r="A165" s="6" t="s">
        <v>122</v>
      </c>
      <c r="B165" s="4" t="s">
        <v>19</v>
      </c>
      <c r="C165" s="5">
        <v>2602.6981924766469</v>
      </c>
      <c r="D165" s="5">
        <v>4734.7086456873649</v>
      </c>
      <c r="E165" s="5">
        <v>0.54970609328777364</v>
      </c>
      <c r="F165" s="5" t="s">
        <v>12</v>
      </c>
      <c r="G165" s="5"/>
    </row>
    <row r="166" spans="1:7" x14ac:dyDescent="0.35">
      <c r="A166" s="6" t="s">
        <v>122</v>
      </c>
      <c r="B166" s="4" t="s">
        <v>20</v>
      </c>
      <c r="C166" s="5">
        <v>-1401.920692534087</v>
      </c>
      <c r="D166" s="5">
        <v>4336.6754762861192</v>
      </c>
      <c r="E166" s="5">
        <v>-0.32327083273814078</v>
      </c>
      <c r="F166" s="5" t="s">
        <v>12</v>
      </c>
      <c r="G166" s="5"/>
    </row>
    <row r="167" spans="1:7" x14ac:dyDescent="0.35">
      <c r="A167" s="6" t="s">
        <v>122</v>
      </c>
      <c r="B167" s="4" t="s">
        <v>25</v>
      </c>
      <c r="C167" s="5">
        <v>-0.43476187910670971</v>
      </c>
      <c r="D167" s="5">
        <v>0.98384382165627193</v>
      </c>
      <c r="E167" s="5">
        <v>-0.44190131557140938</v>
      </c>
      <c r="F167" s="5" t="s">
        <v>12</v>
      </c>
      <c r="G167" s="5"/>
    </row>
    <row r="168" spans="1:7" x14ac:dyDescent="0.35">
      <c r="A168" s="6" t="s">
        <v>122</v>
      </c>
      <c r="B168" s="4" t="s">
        <v>29</v>
      </c>
      <c r="C168" s="5">
        <v>61380.939691159831</v>
      </c>
      <c r="D168" s="5">
        <v>42730.544149450492</v>
      </c>
      <c r="E168" s="5">
        <v>1.4364652010159149</v>
      </c>
      <c r="F168" s="5" t="s">
        <v>12</v>
      </c>
      <c r="G168" s="5"/>
    </row>
    <row r="169" spans="1:7" x14ac:dyDescent="0.35">
      <c r="A169" s="6" t="s">
        <v>122</v>
      </c>
      <c r="B169" s="7" t="s">
        <v>31</v>
      </c>
      <c r="C169">
        <v>-4.4945946958495346</v>
      </c>
      <c r="D169">
        <v>1.9653895634263501</v>
      </c>
      <c r="E169">
        <v>-2.2868721700210468</v>
      </c>
      <c r="F169" t="s">
        <v>14</v>
      </c>
    </row>
    <row r="170" spans="1:7" x14ac:dyDescent="0.35">
      <c r="A170" s="6" t="s">
        <v>123</v>
      </c>
      <c r="B170" s="7" t="s">
        <v>11</v>
      </c>
      <c r="C170">
        <v>2624.440777941848</v>
      </c>
      <c r="D170">
        <v>924.11361169531074</v>
      </c>
      <c r="E170">
        <v>2.8399546816838281</v>
      </c>
      <c r="F170" t="s">
        <v>14</v>
      </c>
    </row>
    <row r="171" spans="1:7" x14ac:dyDescent="0.35">
      <c r="A171" s="6" t="s">
        <v>123</v>
      </c>
      <c r="B171" s="7" t="s">
        <v>19</v>
      </c>
      <c r="C171">
        <v>2781.722157510771</v>
      </c>
      <c r="D171">
        <v>979.56566906319676</v>
      </c>
      <c r="E171">
        <v>2.839750560236618</v>
      </c>
      <c r="F171" t="s">
        <v>14</v>
      </c>
    </row>
    <row r="172" spans="1:7" x14ac:dyDescent="0.35">
      <c r="A172" s="6" t="s">
        <v>123</v>
      </c>
      <c r="B172" s="7" t="s">
        <v>20</v>
      </c>
      <c r="C172">
        <v>-4261.2173396768139</v>
      </c>
      <c r="D172">
        <v>1760.6325269729759</v>
      </c>
      <c r="E172">
        <v>-2.4202763918050798</v>
      </c>
      <c r="F172" t="s">
        <v>14</v>
      </c>
    </row>
    <row r="173" spans="1:7" x14ac:dyDescent="0.35">
      <c r="A173" s="6" t="s">
        <v>123</v>
      </c>
      <c r="B173" s="7" t="s">
        <v>25</v>
      </c>
      <c r="C173">
        <v>4.9424016547933167</v>
      </c>
      <c r="D173">
        <v>1.334171332148177</v>
      </c>
      <c r="E173">
        <v>3.7044729831178822</v>
      </c>
      <c r="F173" t="s">
        <v>14</v>
      </c>
    </row>
    <row r="174" spans="1:7" x14ac:dyDescent="0.35">
      <c r="A174" s="6" t="s">
        <v>123</v>
      </c>
      <c r="B174" s="4" t="s">
        <v>29</v>
      </c>
      <c r="C174" s="5">
        <v>-10133.551499494601</v>
      </c>
      <c r="D174" s="5">
        <v>30265.52918881446</v>
      </c>
      <c r="E174" s="5">
        <v>-0.33482155346683201</v>
      </c>
      <c r="F174" s="5" t="s">
        <v>12</v>
      </c>
      <c r="G174" s="5"/>
    </row>
    <row r="175" spans="1:7" x14ac:dyDescent="0.35">
      <c r="A175" s="6" t="s">
        <v>123</v>
      </c>
      <c r="B175" s="4" t="s">
        <v>31</v>
      </c>
      <c r="C175" s="5">
        <v>-0.72870912227758433</v>
      </c>
      <c r="D175" s="5">
        <v>0.78899453429542588</v>
      </c>
      <c r="E175" s="5">
        <v>-0.92359210438425077</v>
      </c>
      <c r="F175" s="5" t="s">
        <v>12</v>
      </c>
      <c r="G175" s="5"/>
    </row>
    <row r="176" spans="1:7" x14ac:dyDescent="0.35">
      <c r="A176" s="6" t="s">
        <v>124</v>
      </c>
      <c r="B176" s="4" t="s">
        <v>11</v>
      </c>
      <c r="C176" s="5">
        <v>-496.52962363323331</v>
      </c>
      <c r="D176" s="5">
        <v>693.20647939480978</v>
      </c>
      <c r="E176" s="5">
        <v>-0.71627954785811965</v>
      </c>
      <c r="F176" s="5" t="s">
        <v>12</v>
      </c>
      <c r="G176" s="5"/>
    </row>
    <row r="177" spans="1:7" x14ac:dyDescent="0.35">
      <c r="A177" s="6" t="s">
        <v>124</v>
      </c>
      <c r="B177" s="4" t="s">
        <v>19</v>
      </c>
      <c r="C177" s="5">
        <v>7570.8885625876519</v>
      </c>
      <c r="D177" s="5">
        <v>11294.82879578461</v>
      </c>
      <c r="E177" s="5">
        <v>0.67029688536874632</v>
      </c>
      <c r="F177" s="5" t="s">
        <v>12</v>
      </c>
      <c r="G177" s="5"/>
    </row>
    <row r="178" spans="1:7" x14ac:dyDescent="0.35">
      <c r="A178" s="6" t="s">
        <v>124</v>
      </c>
      <c r="B178" s="4" t="s">
        <v>20</v>
      </c>
      <c r="C178" s="5">
        <v>-6945.0421819024232</v>
      </c>
      <c r="D178" s="5">
        <v>5171.6341548224182</v>
      </c>
      <c r="E178" s="5">
        <v>-1.3429105721692141</v>
      </c>
      <c r="F178" s="5" t="s">
        <v>12</v>
      </c>
      <c r="G178" s="5"/>
    </row>
    <row r="179" spans="1:7" x14ac:dyDescent="0.35">
      <c r="A179" s="6" t="s">
        <v>124</v>
      </c>
      <c r="B179" s="4" t="s">
        <v>25</v>
      </c>
      <c r="C179" s="5">
        <v>2.0090512314138511</v>
      </c>
      <c r="D179" s="5">
        <v>1.4160873194015411</v>
      </c>
      <c r="E179" s="5">
        <v>1.4187340031142319</v>
      </c>
      <c r="F179" s="5" t="s">
        <v>12</v>
      </c>
      <c r="G179" s="5"/>
    </row>
    <row r="180" spans="1:7" x14ac:dyDescent="0.35">
      <c r="A180" s="6" t="s">
        <v>124</v>
      </c>
      <c r="B180" s="4" t="s">
        <v>29</v>
      </c>
      <c r="C180" s="5">
        <v>134940.16622149889</v>
      </c>
      <c r="D180" s="5">
        <v>99371.037931139683</v>
      </c>
      <c r="E180" s="5">
        <v>1.357942606124404</v>
      </c>
      <c r="F180" s="5" t="s">
        <v>12</v>
      </c>
      <c r="G180" s="5"/>
    </row>
    <row r="181" spans="1:7" x14ac:dyDescent="0.35">
      <c r="A181" s="6" t="s">
        <v>124</v>
      </c>
      <c r="B181" s="7" t="s">
        <v>31</v>
      </c>
      <c r="C181">
        <v>-4.8056805004939438</v>
      </c>
      <c r="D181">
        <v>1.970566075969677</v>
      </c>
      <c r="E181">
        <v>-2.4387309611676748</v>
      </c>
      <c r="F181" t="s">
        <v>14</v>
      </c>
    </row>
    <row r="182" spans="1:7" x14ac:dyDescent="0.35">
      <c r="A182" s="3" t="s">
        <v>128</v>
      </c>
      <c r="B182" s="4" t="s">
        <v>11</v>
      </c>
      <c r="C182" s="5">
        <v>-98.174747090122906</v>
      </c>
      <c r="D182" s="5">
        <v>149.89073542401471</v>
      </c>
      <c r="E182" s="5">
        <v>-0.65497541800968362</v>
      </c>
      <c r="F182" s="5" t="s">
        <v>12</v>
      </c>
      <c r="G182" s="5"/>
    </row>
    <row r="183" spans="1:7" x14ac:dyDescent="0.35">
      <c r="A183" s="3" t="s">
        <v>128</v>
      </c>
      <c r="B183" s="4" t="s">
        <v>19</v>
      </c>
      <c r="C183" s="5">
        <v>-98.184466142776515</v>
      </c>
      <c r="D183" s="5">
        <v>96.779291588272272</v>
      </c>
      <c r="E183" s="5">
        <v>-1.014519372186379</v>
      </c>
      <c r="F183" s="5" t="s">
        <v>12</v>
      </c>
      <c r="G183" s="5"/>
    </row>
    <row r="184" spans="1:7" x14ac:dyDescent="0.35">
      <c r="A184" s="3" t="s">
        <v>128</v>
      </c>
      <c r="B184" s="4" t="s">
        <v>20</v>
      </c>
      <c r="C184" s="5">
        <v>-223.51316870508819</v>
      </c>
      <c r="D184" s="5">
        <v>203.7972629833267</v>
      </c>
      <c r="E184" s="5">
        <v>-1.096742740472302</v>
      </c>
      <c r="F184" s="5" t="s">
        <v>12</v>
      </c>
      <c r="G184" s="5"/>
    </row>
    <row r="185" spans="1:7" x14ac:dyDescent="0.35">
      <c r="A185" s="3" t="s">
        <v>128</v>
      </c>
      <c r="B185" s="4" t="s">
        <v>25</v>
      </c>
      <c r="C185" s="5">
        <v>0.17244690599593021</v>
      </c>
      <c r="D185" s="5">
        <v>0.12078684280119351</v>
      </c>
      <c r="E185" s="5">
        <v>1.4276961132245629</v>
      </c>
      <c r="F185" s="5" t="s">
        <v>12</v>
      </c>
      <c r="G185" s="5"/>
    </row>
    <row r="186" spans="1:7" x14ac:dyDescent="0.35">
      <c r="A186" s="3" t="s">
        <v>128</v>
      </c>
      <c r="B186" s="4" t="s">
        <v>29</v>
      </c>
      <c r="C186" s="5">
        <v>2435.6415734613738</v>
      </c>
      <c r="D186" s="5">
        <v>1913.933472531254</v>
      </c>
      <c r="E186" s="5">
        <v>1.272584239952782</v>
      </c>
      <c r="F186" s="5" t="s">
        <v>12</v>
      </c>
      <c r="G186" s="5"/>
    </row>
    <row r="187" spans="1:7" x14ac:dyDescent="0.35">
      <c r="A187" s="3" t="s">
        <v>128</v>
      </c>
      <c r="B187" s="4" t="s">
        <v>31</v>
      </c>
      <c r="C187" s="5">
        <v>-0.30363349758571689</v>
      </c>
      <c r="D187" s="5">
        <v>0.25583662709479749</v>
      </c>
      <c r="E187" s="5">
        <v>-1.1868257529568229</v>
      </c>
      <c r="F187" s="5" t="s">
        <v>12</v>
      </c>
      <c r="G187" s="5"/>
    </row>
    <row r="188" spans="1:7" x14ac:dyDescent="0.35">
      <c r="A188" s="6" t="s">
        <v>125</v>
      </c>
      <c r="B188" s="4" t="s">
        <v>11</v>
      </c>
      <c r="C188" s="5">
        <v>52.386212300083038</v>
      </c>
      <c r="D188" s="5">
        <v>500.91956731184371</v>
      </c>
      <c r="E188" s="5">
        <v>0.1045800877398555</v>
      </c>
      <c r="F188" s="5" t="s">
        <v>12</v>
      </c>
      <c r="G188" s="5"/>
    </row>
    <row r="189" spans="1:7" x14ac:dyDescent="0.35">
      <c r="A189" s="6" t="s">
        <v>125</v>
      </c>
      <c r="B189" s="4" t="s">
        <v>19</v>
      </c>
      <c r="C189" s="5">
        <v>-4245.6505498097367</v>
      </c>
      <c r="D189" s="5">
        <v>3262.8484560029592</v>
      </c>
      <c r="E189" s="5">
        <v>-1.3012098499391309</v>
      </c>
      <c r="F189" s="5" t="s">
        <v>12</v>
      </c>
      <c r="G189" s="5"/>
    </row>
    <row r="190" spans="1:7" x14ac:dyDescent="0.35">
      <c r="A190" s="6" t="s">
        <v>125</v>
      </c>
      <c r="B190" s="7" t="s">
        <v>20</v>
      </c>
      <c r="C190">
        <v>-7544.9540694407051</v>
      </c>
      <c r="D190">
        <v>2031.0243354869381</v>
      </c>
      <c r="E190">
        <v>-3.714851633046437</v>
      </c>
      <c r="F190" t="s">
        <v>14</v>
      </c>
    </row>
    <row r="191" spans="1:7" x14ac:dyDescent="0.35">
      <c r="A191" s="6" t="s">
        <v>125</v>
      </c>
      <c r="B191" s="4" t="s">
        <v>25</v>
      </c>
      <c r="C191" s="5">
        <v>-1.7152296520042649</v>
      </c>
      <c r="D191" s="5">
        <v>1.2073377233256311</v>
      </c>
      <c r="E191" s="5">
        <v>-1.420670967920755</v>
      </c>
      <c r="F191" s="5" t="s">
        <v>12</v>
      </c>
      <c r="G191" s="5"/>
    </row>
    <row r="192" spans="1:7" x14ac:dyDescent="0.35">
      <c r="A192" s="6" t="s">
        <v>125</v>
      </c>
      <c r="B192" s="4" t="s">
        <v>29</v>
      </c>
      <c r="C192" s="5">
        <v>-19358.70353797073</v>
      </c>
      <c r="D192" s="5">
        <v>21211.386264460481</v>
      </c>
      <c r="E192" s="5">
        <v>-0.91265621664747543</v>
      </c>
      <c r="F192" s="5" t="s">
        <v>12</v>
      </c>
      <c r="G192" s="5"/>
    </row>
    <row r="193" spans="1:7" x14ac:dyDescent="0.35">
      <c r="A193" s="6" t="s">
        <v>125</v>
      </c>
      <c r="B193" s="4" t="s">
        <v>31</v>
      </c>
      <c r="C193" s="5">
        <v>-3.922187430373536</v>
      </c>
      <c r="D193" s="5">
        <v>3.2644509195572771</v>
      </c>
      <c r="E193" s="5">
        <v>-1.2014845764339019</v>
      </c>
      <c r="F193" s="5" t="s">
        <v>12</v>
      </c>
      <c r="G193" s="5"/>
    </row>
    <row r="194" spans="1:7" x14ac:dyDescent="0.35">
      <c r="A194" s="3" t="s">
        <v>129</v>
      </c>
      <c r="B194" s="4" t="s">
        <v>11</v>
      </c>
      <c r="C194" s="5">
        <v>-703.21511792622687</v>
      </c>
      <c r="D194" s="5">
        <v>539.80938658774926</v>
      </c>
      <c r="E194" s="5">
        <v>-1.30271005914032</v>
      </c>
      <c r="F194" s="5" t="s">
        <v>12</v>
      </c>
      <c r="G194" s="5"/>
    </row>
    <row r="195" spans="1:7" x14ac:dyDescent="0.35">
      <c r="A195" s="3" t="s">
        <v>129</v>
      </c>
      <c r="B195" s="4" t="s">
        <v>19</v>
      </c>
      <c r="C195" s="5">
        <v>-4713.5507241690621</v>
      </c>
      <c r="D195" s="5">
        <v>7586.6759563159603</v>
      </c>
      <c r="E195" s="5">
        <v>-0.62129327142870761</v>
      </c>
      <c r="F195" s="5" t="s">
        <v>12</v>
      </c>
      <c r="G195" s="5"/>
    </row>
    <row r="196" spans="1:7" x14ac:dyDescent="0.35">
      <c r="A196" s="3" t="s">
        <v>129</v>
      </c>
      <c r="B196" s="4" t="s">
        <v>20</v>
      </c>
      <c r="C196" s="5">
        <v>4177.1781223081116</v>
      </c>
      <c r="D196" s="5">
        <v>10316.942035960439</v>
      </c>
      <c r="E196" s="5">
        <v>0.40488529525011002</v>
      </c>
      <c r="F196" s="5" t="s">
        <v>12</v>
      </c>
      <c r="G196" s="5"/>
    </row>
    <row r="197" spans="1:7" x14ac:dyDescent="0.35">
      <c r="A197" s="3" t="s">
        <v>129</v>
      </c>
      <c r="B197" s="4" t="s">
        <v>25</v>
      </c>
      <c r="C197" s="5">
        <v>1.455343376221133</v>
      </c>
      <c r="D197" s="5">
        <v>1.8869239973973431</v>
      </c>
      <c r="E197" s="5">
        <v>0.77127821694382248</v>
      </c>
      <c r="F197" s="5" t="s">
        <v>12</v>
      </c>
      <c r="G197" s="5"/>
    </row>
    <row r="198" spans="1:7" x14ac:dyDescent="0.35">
      <c r="A198" s="3" t="s">
        <v>129</v>
      </c>
      <c r="B198" s="4" t="s">
        <v>29</v>
      </c>
      <c r="C198" s="5">
        <v>22496.3916185585</v>
      </c>
      <c r="D198" s="5">
        <v>66926.330143596511</v>
      </c>
      <c r="E198" s="5">
        <v>0.33613663815557271</v>
      </c>
      <c r="F198" s="5" t="s">
        <v>12</v>
      </c>
      <c r="G198" s="5"/>
    </row>
    <row r="199" spans="1:7" x14ac:dyDescent="0.35">
      <c r="A199" s="3" t="s">
        <v>129</v>
      </c>
      <c r="B199" s="4" t="s">
        <v>31</v>
      </c>
      <c r="C199" s="5">
        <v>-33.761740299131652</v>
      </c>
      <c r="D199" s="5">
        <v>47.319041215462143</v>
      </c>
      <c r="E199" s="5">
        <v>-0.71349163955797867</v>
      </c>
      <c r="F199" s="5" t="s">
        <v>12</v>
      </c>
      <c r="G199" s="5"/>
    </row>
    <row r="200" spans="1:7" x14ac:dyDescent="0.35">
      <c r="A200" s="6" t="s">
        <v>126</v>
      </c>
      <c r="B200" s="7" t="s">
        <v>11</v>
      </c>
      <c r="C200">
        <v>2009.7972751970619</v>
      </c>
      <c r="D200">
        <v>418.65654684162928</v>
      </c>
      <c r="E200">
        <v>4.8005872363852804</v>
      </c>
      <c r="F200" t="s">
        <v>14</v>
      </c>
    </row>
    <row r="201" spans="1:7" x14ac:dyDescent="0.35">
      <c r="A201" s="6" t="s">
        <v>126</v>
      </c>
      <c r="B201" s="4" t="s">
        <v>19</v>
      </c>
      <c r="C201" s="5">
        <v>-6478.751926544136</v>
      </c>
      <c r="D201" s="5">
        <v>6573.4368356595614</v>
      </c>
      <c r="E201" s="5">
        <v>-0.98559582886660158</v>
      </c>
      <c r="F201" s="5" t="s">
        <v>12</v>
      </c>
      <c r="G201" s="5"/>
    </row>
    <row r="202" spans="1:7" x14ac:dyDescent="0.35">
      <c r="A202" s="6" t="s">
        <v>126</v>
      </c>
      <c r="B202" s="4" t="s">
        <v>20</v>
      </c>
      <c r="C202" s="5">
        <v>-3393.414922289242</v>
      </c>
      <c r="D202" s="5">
        <v>6325.1448725542441</v>
      </c>
      <c r="E202" s="5">
        <v>-0.53649599980132945</v>
      </c>
      <c r="F202" s="5" t="s">
        <v>12</v>
      </c>
      <c r="G202" s="5"/>
    </row>
    <row r="203" spans="1:7" x14ac:dyDescent="0.35">
      <c r="A203" s="6" t="s">
        <v>126</v>
      </c>
      <c r="B203" s="4" t="s">
        <v>25</v>
      </c>
      <c r="C203" s="5">
        <v>1.6555546774198879</v>
      </c>
      <c r="D203" s="5">
        <v>3.2555575503561252</v>
      </c>
      <c r="E203" s="5">
        <v>0.50853184187721923</v>
      </c>
      <c r="F203" s="5" t="s">
        <v>12</v>
      </c>
      <c r="G203" s="5"/>
    </row>
    <row r="204" spans="1:7" x14ac:dyDescent="0.35">
      <c r="A204" s="6" t="s">
        <v>126</v>
      </c>
      <c r="B204" s="7" t="s">
        <v>29</v>
      </c>
      <c r="C204">
        <v>56659.942114296347</v>
      </c>
      <c r="D204">
        <v>22838.1053432359</v>
      </c>
      <c r="E204">
        <v>2.4809388196940638</v>
      </c>
      <c r="F204" t="s">
        <v>14</v>
      </c>
    </row>
    <row r="205" spans="1:7" x14ac:dyDescent="0.35">
      <c r="A205" s="6" t="s">
        <v>126</v>
      </c>
      <c r="B205" s="7" t="s">
        <v>31</v>
      </c>
      <c r="C205">
        <v>29.398148399980421</v>
      </c>
      <c r="D205">
        <v>8.099248342453949</v>
      </c>
      <c r="E205">
        <v>3.6297378666466749</v>
      </c>
      <c r="F20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Laila</dc:creator>
  <cp:lastModifiedBy>Oktaviani Laila</cp:lastModifiedBy>
  <dcterms:created xsi:type="dcterms:W3CDTF">2024-06-14T16:10:43Z</dcterms:created>
  <dcterms:modified xsi:type="dcterms:W3CDTF">2024-06-14T16:11:08Z</dcterms:modified>
</cp:coreProperties>
</file>